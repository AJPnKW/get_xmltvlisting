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PROJECTS\GitHub\get_xmltvlisting\IPTV\"/>
    </mc:Choice>
  </mc:AlternateContent>
  <xr:revisionPtr revIDLastSave="0" documentId="13_ncr:1_{BD1BB18A-B3EC-4199-B8EA-4595C08FA40D}" xr6:coauthVersionLast="47" xr6:coauthVersionMax="47" xr10:uidLastSave="{00000000-0000-0000-0000-000000000000}"/>
  <bookViews>
    <workbookView xWindow="-110" yWindow="-110" windowWidth="19420" windowHeight="11500" activeTab="2" xr2:uid="{D73D852F-C81B-45F8-AE69-4D28B213D791}"/>
  </bookViews>
  <sheets>
    <sheet name="Sheet3" sheetId="1" r:id="rId1"/>
    <sheet name="Sheet1" sheetId="2" r:id="rId2"/>
    <sheet name="Manual_List" sheetId="3" r:id="rId3"/>
  </sheets>
  <definedNames>
    <definedName name="_xlnm._FilterDatabase" localSheetId="0" hidden="1">Sheet3!$A$1:$M$309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L3" i="1"/>
  <c r="M3" i="1"/>
  <c r="L4" i="1"/>
  <c r="M4" i="1"/>
  <c r="L5" i="1"/>
  <c r="M5" i="1"/>
  <c r="L14" i="1"/>
  <c r="M14" i="1"/>
  <c r="L19" i="1"/>
  <c r="M19" i="1"/>
  <c r="L20" i="1"/>
  <c r="M20" i="1"/>
  <c r="L21" i="1"/>
  <c r="M21" i="1"/>
  <c r="L22" i="1"/>
  <c r="M22" i="1"/>
  <c r="L23" i="1"/>
  <c r="M23" i="1"/>
  <c r="L25" i="1"/>
  <c r="M25" i="1"/>
  <c r="L27" i="1"/>
  <c r="M27" i="1"/>
  <c r="L28" i="1"/>
  <c r="M28" i="1"/>
  <c r="L31" i="1"/>
  <c r="M31" i="1"/>
  <c r="L32" i="1"/>
  <c r="M32" i="1"/>
  <c r="L33" i="1"/>
  <c r="M33" i="1"/>
  <c r="M40" i="1"/>
  <c r="L42" i="1"/>
  <c r="M42" i="1"/>
  <c r="L53" i="1"/>
  <c r="M53" i="1"/>
  <c r="L54" i="1"/>
  <c r="M54" i="1"/>
  <c r="L58" i="1"/>
  <c r="M58" i="1"/>
  <c r="L59" i="1"/>
  <c r="M59" i="1"/>
  <c r="L60" i="1"/>
  <c r="M60" i="1"/>
  <c r="L62" i="1"/>
  <c r="M62" i="1"/>
  <c r="L63" i="1"/>
  <c r="M63" i="1"/>
  <c r="L68" i="1"/>
  <c r="M68" i="1"/>
  <c r="L69" i="1"/>
  <c r="M69" i="1"/>
  <c r="L76" i="1"/>
  <c r="M76" i="1"/>
  <c r="L77" i="1"/>
  <c r="M77" i="1"/>
  <c r="L78" i="1"/>
  <c r="M78" i="1"/>
  <c r="L79" i="1"/>
  <c r="M79" i="1"/>
  <c r="L81" i="1"/>
  <c r="M81" i="1"/>
  <c r="L83" i="1"/>
  <c r="M83" i="1"/>
  <c r="L90" i="1"/>
  <c r="M90" i="1"/>
  <c r="L94" i="1"/>
  <c r="M94" i="1"/>
  <c r="L96" i="1"/>
  <c r="M96" i="1"/>
  <c r="L97" i="1"/>
  <c r="M97" i="1"/>
  <c r="L100" i="1"/>
  <c r="M100" i="1"/>
  <c r="L101" i="1"/>
  <c r="M101" i="1"/>
  <c r="L104" i="1"/>
  <c r="M104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5" i="1"/>
  <c r="M125" i="1"/>
  <c r="L126" i="1"/>
  <c r="M126" i="1"/>
  <c r="L127" i="1"/>
  <c r="M127" i="1"/>
  <c r="L128" i="1"/>
  <c r="M128" i="1"/>
  <c r="L131" i="1"/>
  <c r="M131" i="1"/>
  <c r="L134" i="1"/>
  <c r="M134" i="1"/>
  <c r="L135" i="1"/>
  <c r="M135" i="1"/>
  <c r="L137" i="1"/>
  <c r="M137" i="1"/>
  <c r="L138" i="1"/>
  <c r="M138" i="1"/>
  <c r="L139" i="1"/>
  <c r="M139" i="1"/>
  <c r="L144" i="1"/>
  <c r="M144" i="1"/>
  <c r="L145" i="1"/>
  <c r="M145" i="1"/>
  <c r="L147" i="1"/>
  <c r="M147" i="1"/>
  <c r="L148" i="1"/>
  <c r="M148" i="1"/>
  <c r="H47" i="1" a="1"/>
  <c r="H47" i="1" s="1"/>
  <c r="H48" i="1" a="1"/>
  <c r="H48" i="1" s="1"/>
  <c r="H55" i="1" a="1"/>
  <c r="H55" i="1" s="1"/>
  <c r="H2" i="1" a="1"/>
  <c r="H2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F80" i="1"/>
  <c r="I80" i="1" s="1" a="1"/>
  <c r="I80" i="1" s="1"/>
  <c r="F38" i="1"/>
  <c r="I38" i="1" s="1" a="1"/>
  <c r="I38" i="1" s="1"/>
  <c r="F39" i="1"/>
  <c r="I39" i="1" s="1" a="1"/>
  <c r="I39" i="1" s="1"/>
  <c r="F40" i="1"/>
  <c r="I40" i="1" s="1" a="1"/>
  <c r="I40" i="1" s="1"/>
  <c r="F41" i="1"/>
  <c r="I41" i="1" s="1" a="1"/>
  <c r="I41" i="1" s="1"/>
  <c r="F145" i="1"/>
  <c r="I145" i="1" s="1" a="1"/>
  <c r="I145" i="1" s="1"/>
  <c r="F115" i="1"/>
  <c r="I115" i="1" s="1" a="1"/>
  <c r="I115" i="1" s="1"/>
  <c r="F43" i="1"/>
  <c r="I43" i="1" s="1" a="1"/>
  <c r="I43" i="1" s="1"/>
  <c r="F44" i="1"/>
  <c r="I44" i="1" s="1" a="1"/>
  <c r="I44" i="1" s="1"/>
  <c r="F46" i="1"/>
  <c r="I46" i="1" s="1" a="1"/>
  <c r="I46" i="1" s="1"/>
  <c r="F50" i="1"/>
  <c r="I50" i="1" s="1" a="1"/>
  <c r="I50" i="1" s="1"/>
  <c r="F48" i="1"/>
  <c r="L48" i="1" s="1"/>
  <c r="F144" i="1"/>
  <c r="I144" i="1" s="1" a="1"/>
  <c r="I144" i="1" s="1"/>
  <c r="F142" i="1"/>
  <c r="I142" i="1" s="1" a="1"/>
  <c r="I142" i="1" s="1"/>
  <c r="F140" i="1"/>
  <c r="L140" i="1" s="1"/>
  <c r="F139" i="1"/>
  <c r="I139" i="1" s="1" a="1"/>
  <c r="I139" i="1" s="1"/>
  <c r="F136" i="1"/>
  <c r="I136" i="1" s="1" a="1"/>
  <c r="I136" i="1" s="1"/>
  <c r="F135" i="1"/>
  <c r="I135" i="1" s="1" a="1"/>
  <c r="I135" i="1" s="1"/>
  <c r="F133" i="1"/>
  <c r="I133" i="1" s="1" a="1"/>
  <c r="I133" i="1" s="1"/>
  <c r="F130" i="1"/>
  <c r="I130" i="1" s="1" a="1"/>
  <c r="I130" i="1" s="1"/>
  <c r="F129" i="1"/>
  <c r="I129" i="1" s="1" a="1"/>
  <c r="I129" i="1" s="1"/>
  <c r="F127" i="1"/>
  <c r="I127" i="1" s="1" a="1"/>
  <c r="I127" i="1" s="1"/>
  <c r="F126" i="1"/>
  <c r="I126" i="1" s="1" a="1"/>
  <c r="I126" i="1" s="1"/>
  <c r="F125" i="1"/>
  <c r="I125" i="1" s="1" a="1"/>
  <c r="I125" i="1" s="1"/>
  <c r="F124" i="1"/>
  <c r="I124" i="1" s="1" a="1"/>
  <c r="I124" i="1" s="1"/>
  <c r="F123" i="1"/>
  <c r="L123" i="1" s="1"/>
  <c r="F122" i="1"/>
  <c r="I122" i="1" s="1" a="1"/>
  <c r="I122" i="1" s="1"/>
  <c r="F121" i="1"/>
  <c r="I121" i="1" s="1" a="1"/>
  <c r="I121" i="1" s="1"/>
  <c r="F117" i="1"/>
  <c r="I117" i="1" s="1" a="1"/>
  <c r="I117" i="1" s="1"/>
  <c r="F113" i="1"/>
  <c r="I113" i="1" s="1" a="1"/>
  <c r="I113" i="1" s="1"/>
  <c r="F108" i="1"/>
  <c r="I108" i="1" s="1" a="1"/>
  <c r="I108" i="1" s="1"/>
  <c r="F107" i="1"/>
  <c r="I107" i="1" s="1" a="1"/>
  <c r="I107" i="1" s="1"/>
  <c r="F106" i="1"/>
  <c r="I106" i="1" s="1" a="1"/>
  <c r="I106" i="1" s="1"/>
  <c r="F105" i="1"/>
  <c r="I105" i="1" s="1" a="1"/>
  <c r="I105" i="1" s="1"/>
  <c r="F102" i="1"/>
  <c r="I102" i="1" s="1" a="1"/>
  <c r="I102" i="1" s="1"/>
  <c r="F98" i="1"/>
  <c r="I98" i="1" s="1" a="1"/>
  <c r="I98" i="1" s="1"/>
  <c r="F97" i="1"/>
  <c r="I97" i="1" s="1" a="1"/>
  <c r="I97" i="1" s="1"/>
  <c r="F95" i="1"/>
  <c r="I95" i="1" s="1" a="1"/>
  <c r="I95" i="1" s="1"/>
  <c r="F94" i="1"/>
  <c r="I94" i="1" s="1" a="1"/>
  <c r="I94" i="1" s="1"/>
  <c r="F91" i="1"/>
  <c r="I91" i="1" s="1" a="1"/>
  <c r="I91" i="1" s="1"/>
  <c r="F90" i="1"/>
  <c r="I90" i="1" s="1" a="1"/>
  <c r="I90" i="1" s="1"/>
  <c r="F89" i="1"/>
  <c r="I89" i="1" s="1" a="1"/>
  <c r="I89" i="1" s="1"/>
  <c r="F88" i="1"/>
  <c r="I88" i="1" s="1" a="1"/>
  <c r="I88" i="1" s="1"/>
  <c r="F86" i="1"/>
  <c r="I86" i="1" s="1" a="1"/>
  <c r="I86" i="1" s="1"/>
  <c r="F85" i="1"/>
  <c r="I85" i="1" s="1" a="1"/>
  <c r="I85" i="1" s="1"/>
  <c r="F84" i="1"/>
  <c r="I84" i="1" s="1" a="1"/>
  <c r="I84" i="1" s="1"/>
  <c r="F82" i="1"/>
  <c r="I82" i="1" s="1" a="1"/>
  <c r="I82" i="1" s="1"/>
  <c r="F74" i="1"/>
  <c r="I74" i="1" s="1" a="1"/>
  <c r="I74" i="1" s="1"/>
  <c r="F72" i="1"/>
  <c r="I72" i="1" s="1" a="1"/>
  <c r="I72" i="1" s="1"/>
  <c r="F70" i="1"/>
  <c r="I70" i="1" s="1" a="1"/>
  <c r="I70" i="1" s="1"/>
  <c r="F69" i="1"/>
  <c r="I69" i="1" s="1" a="1"/>
  <c r="I69" i="1" s="1"/>
  <c r="F66" i="1"/>
  <c r="I66" i="1" s="1" a="1"/>
  <c r="I66" i="1" s="1"/>
  <c r="F64" i="1"/>
  <c r="I64" i="1" s="1" a="1"/>
  <c r="I64" i="1" s="1"/>
  <c r="F63" i="1"/>
  <c r="I63" i="1" s="1" a="1"/>
  <c r="I63" i="1" s="1"/>
  <c r="F62" i="1"/>
  <c r="I62" i="1" s="1" a="1"/>
  <c r="I62" i="1" s="1"/>
  <c r="F61" i="1"/>
  <c r="I61" i="1" s="1" a="1"/>
  <c r="I61" i="1" s="1"/>
  <c r="F60" i="1"/>
  <c r="I60" i="1" s="1" a="1"/>
  <c r="I60" i="1" s="1"/>
  <c r="F59" i="1"/>
  <c r="I59" i="1" s="1" a="1"/>
  <c r="I59" i="1" s="1"/>
  <c r="F58" i="1"/>
  <c r="I58" i="1" s="1" a="1"/>
  <c r="I58" i="1" s="1"/>
  <c r="F56" i="1"/>
  <c r="I56" i="1" s="1" a="1"/>
  <c r="I56" i="1" s="1"/>
  <c r="F53" i="1"/>
  <c r="I53" i="1" s="1" a="1"/>
  <c r="I53" i="1" s="1"/>
  <c r="F51" i="1"/>
  <c r="I51" i="1" s="1" a="1"/>
  <c r="I51" i="1" s="1"/>
  <c r="F49" i="1"/>
  <c r="I49" i="1" s="1" a="1"/>
  <c r="I49" i="1" s="1"/>
  <c r="F47" i="1"/>
  <c r="I47" i="1" s="1" a="1"/>
  <c r="I47" i="1" s="1"/>
  <c r="F45" i="1"/>
  <c r="I45" i="1" s="1" a="1"/>
  <c r="I45" i="1" s="1"/>
  <c r="F29" i="1"/>
  <c r="I29" i="1" s="1" a="1"/>
  <c r="I29" i="1" s="1"/>
  <c r="F28" i="1"/>
  <c r="I28" i="1" s="1" a="1"/>
  <c r="I28" i="1" s="1"/>
  <c r="F27" i="1"/>
  <c r="I27" i="1" s="1" a="1"/>
  <c r="I27" i="1" s="1"/>
  <c r="F26" i="1"/>
  <c r="I26" i="1" s="1" a="1"/>
  <c r="I26" i="1" s="1"/>
  <c r="F24" i="1"/>
  <c r="I24" i="1" s="1" a="1"/>
  <c r="I24" i="1" s="1"/>
  <c r="F23" i="1"/>
  <c r="I23" i="1" s="1" a="1"/>
  <c r="I23" i="1" s="1"/>
  <c r="F17" i="1"/>
  <c r="I17" i="1" s="1" a="1"/>
  <c r="I17" i="1" s="1"/>
  <c r="F15" i="1"/>
  <c r="I15" i="1" s="1" a="1"/>
  <c r="I15" i="1" s="1"/>
  <c r="F14" i="1"/>
  <c r="I14" i="1" s="1" a="1"/>
  <c r="I14" i="1" s="1"/>
  <c r="F13" i="1"/>
  <c r="I13" i="1" s="1" a="1"/>
  <c r="I13" i="1" s="1"/>
  <c r="F11" i="1"/>
  <c r="I11" i="1" s="1" a="1"/>
  <c r="I11" i="1" s="1"/>
  <c r="F10" i="1"/>
  <c r="I10" i="1" s="1" a="1"/>
  <c r="I10" i="1" s="1"/>
  <c r="F8" i="1"/>
  <c r="I8" i="1" s="1" a="1"/>
  <c r="I8" i="1" s="1"/>
  <c r="F6" i="1"/>
  <c r="I6" i="1" s="1" a="1"/>
  <c r="I6" i="1" s="1"/>
  <c r="F4" i="1"/>
  <c r="I4" i="1" s="1" a="1"/>
  <c r="I4" i="1" s="1"/>
  <c r="F2" i="1"/>
  <c r="I2" i="1" s="1" a="1"/>
  <c r="I2" i="1" s="1"/>
  <c r="F148" i="1"/>
  <c r="I148" i="1" s="1" a="1"/>
  <c r="I148" i="1" s="1"/>
  <c r="F147" i="1"/>
  <c r="I147" i="1" s="1" a="1"/>
  <c r="I147" i="1" s="1"/>
  <c r="F146" i="1"/>
  <c r="I146" i="1" s="1" a="1"/>
  <c r="I146" i="1" s="1"/>
  <c r="F143" i="1"/>
  <c r="I143" i="1" s="1" a="1"/>
  <c r="I143" i="1" s="1"/>
  <c r="F141" i="1"/>
  <c r="I141" i="1" s="1" a="1"/>
  <c r="I141" i="1" s="1"/>
  <c r="F138" i="1"/>
  <c r="I138" i="1" s="1" a="1"/>
  <c r="I138" i="1" s="1"/>
  <c r="F137" i="1"/>
  <c r="I137" i="1" s="1" a="1"/>
  <c r="I137" i="1" s="1"/>
  <c r="F134" i="1"/>
  <c r="I134" i="1" s="1" a="1"/>
  <c r="I134" i="1" s="1"/>
  <c r="F132" i="1"/>
  <c r="I132" i="1" s="1" a="1"/>
  <c r="I132" i="1" s="1"/>
  <c r="F131" i="1"/>
  <c r="I131" i="1" s="1" a="1"/>
  <c r="I131" i="1" s="1"/>
  <c r="F128" i="1"/>
  <c r="I128" i="1" s="1" a="1"/>
  <c r="I128" i="1" s="1"/>
  <c r="F120" i="1"/>
  <c r="I120" i="1" s="1" a="1"/>
  <c r="I120" i="1" s="1"/>
  <c r="F119" i="1"/>
  <c r="I119" i="1" s="1" a="1"/>
  <c r="I119" i="1" s="1"/>
  <c r="F118" i="1"/>
  <c r="I118" i="1" s="1" a="1"/>
  <c r="I118" i="1" s="1"/>
  <c r="F116" i="1"/>
  <c r="I116" i="1" s="1" a="1"/>
  <c r="I116" i="1" s="1"/>
  <c r="F112" i="1"/>
  <c r="I112" i="1" s="1" a="1"/>
  <c r="I112" i="1" s="1"/>
  <c r="F111" i="1"/>
  <c r="I111" i="1" s="1" a="1"/>
  <c r="I111" i="1" s="1"/>
  <c r="F110" i="1"/>
  <c r="I110" i="1" s="1" a="1"/>
  <c r="I110" i="1" s="1"/>
  <c r="F109" i="1"/>
  <c r="I109" i="1" s="1" a="1"/>
  <c r="I109" i="1" s="1"/>
  <c r="F104" i="1"/>
  <c r="I104" i="1" s="1" a="1"/>
  <c r="I104" i="1" s="1"/>
  <c r="F103" i="1"/>
  <c r="I103" i="1" s="1" a="1"/>
  <c r="I103" i="1" s="1"/>
  <c r="F101" i="1"/>
  <c r="I101" i="1" s="1" a="1"/>
  <c r="I101" i="1" s="1"/>
  <c r="F100" i="1"/>
  <c r="I100" i="1" s="1" a="1"/>
  <c r="I100" i="1" s="1"/>
  <c r="F99" i="1"/>
  <c r="I99" i="1" s="1" a="1"/>
  <c r="I99" i="1" s="1"/>
  <c r="F93" i="1"/>
  <c r="I93" i="1" s="1" a="1"/>
  <c r="I93" i="1" s="1"/>
  <c r="F87" i="1"/>
  <c r="I87" i="1" s="1" a="1"/>
  <c r="I87" i="1" s="1"/>
  <c r="F83" i="1"/>
  <c r="I83" i="1" s="1" a="1"/>
  <c r="I83" i="1" s="1"/>
  <c r="F81" i="1"/>
  <c r="I81" i="1" s="1" a="1"/>
  <c r="I81" i="1" s="1"/>
  <c r="F78" i="1"/>
  <c r="I78" i="1" s="1" a="1"/>
  <c r="I78" i="1" s="1"/>
  <c r="F77" i="1"/>
  <c r="I77" i="1" s="1" a="1"/>
  <c r="I77" i="1" s="1"/>
  <c r="F76" i="1"/>
  <c r="I76" i="1" s="1" a="1"/>
  <c r="I76" i="1" s="1"/>
  <c r="F75" i="1"/>
  <c r="I75" i="1" s="1" a="1"/>
  <c r="I75" i="1" s="1"/>
  <c r="F73" i="1"/>
  <c r="I73" i="1" s="1" a="1"/>
  <c r="I73" i="1" s="1"/>
  <c r="F68" i="1"/>
  <c r="I68" i="1" s="1" a="1"/>
  <c r="I68" i="1" s="1"/>
  <c r="F57" i="1"/>
  <c r="I57" i="1" s="1" a="1"/>
  <c r="I57" i="1" s="1"/>
  <c r="F55" i="1"/>
  <c r="I55" i="1" s="1" a="1"/>
  <c r="I55" i="1" s="1"/>
  <c r="F54" i="1"/>
  <c r="I54" i="1" s="1" a="1"/>
  <c r="I54" i="1" s="1"/>
  <c r="F52" i="1"/>
  <c r="I52" i="1" s="1" a="1"/>
  <c r="I52" i="1" s="1"/>
  <c r="F42" i="1"/>
  <c r="I42" i="1" s="1" a="1"/>
  <c r="I42" i="1" s="1"/>
  <c r="F37" i="1"/>
  <c r="I37" i="1" s="1" a="1"/>
  <c r="I37" i="1" s="1"/>
  <c r="F36" i="1"/>
  <c r="I36" i="1" s="1" a="1"/>
  <c r="I36" i="1" s="1"/>
  <c r="F35" i="1"/>
  <c r="I35" i="1" s="1" a="1"/>
  <c r="I35" i="1" s="1"/>
  <c r="F34" i="1"/>
  <c r="I34" i="1" s="1" a="1"/>
  <c r="I34" i="1" s="1"/>
  <c r="F33" i="1"/>
  <c r="I33" i="1" s="1" a="1"/>
  <c r="I33" i="1" s="1"/>
  <c r="I32" i="1" a="1"/>
  <c r="I32" i="1" s="1"/>
  <c r="F25" i="1"/>
  <c r="I25" i="1" s="1" a="1"/>
  <c r="I25" i="1" s="1"/>
  <c r="F22" i="1"/>
  <c r="I22" i="1" s="1" a="1"/>
  <c r="I22" i="1" s="1"/>
  <c r="F21" i="1"/>
  <c r="I21" i="1" s="1" a="1"/>
  <c r="I21" i="1" s="1"/>
  <c r="F20" i="1"/>
  <c r="I20" i="1" s="1" a="1"/>
  <c r="I20" i="1" s="1"/>
  <c r="F19" i="1"/>
  <c r="I19" i="1" s="1" a="1"/>
  <c r="I19" i="1" s="1"/>
  <c r="F18" i="1"/>
  <c r="I18" i="1" s="1" a="1"/>
  <c r="I18" i="1" s="1"/>
  <c r="F16" i="1"/>
  <c r="I16" i="1" s="1" a="1"/>
  <c r="I16" i="1" s="1"/>
  <c r="F5" i="1"/>
  <c r="I5" i="1" s="1" a="1"/>
  <c r="I5" i="1" s="1"/>
  <c r="F7" i="1"/>
  <c r="I7" i="1" s="1" a="1"/>
  <c r="I7" i="1" s="1"/>
  <c r="F9" i="1"/>
  <c r="I9" i="1" s="1" a="1"/>
  <c r="I9" i="1" s="1"/>
  <c r="F12" i="1"/>
  <c r="I12" i="1" s="1" a="1"/>
  <c r="I12" i="1" s="1"/>
  <c r="F30" i="1"/>
  <c r="I30" i="1" s="1" a="1"/>
  <c r="I30" i="1" s="1"/>
  <c r="F65" i="1"/>
  <c r="I65" i="1" s="1" a="1"/>
  <c r="I65" i="1" s="1"/>
  <c r="F67" i="1"/>
  <c r="I67" i="1" s="1" a="1"/>
  <c r="I67" i="1" s="1"/>
  <c r="F71" i="1"/>
  <c r="I71" i="1" s="1" a="1"/>
  <c r="I71" i="1" s="1"/>
  <c r="F79" i="1"/>
  <c r="I79" i="1" s="1" a="1"/>
  <c r="I79" i="1" s="1"/>
  <c r="F92" i="1"/>
  <c r="I92" i="1" s="1" a="1"/>
  <c r="I92" i="1" s="1"/>
  <c r="F96" i="1"/>
  <c r="I96" i="1" s="1" a="1"/>
  <c r="I96" i="1" s="1"/>
  <c r="F114" i="1"/>
  <c r="I114" i="1" s="1" a="1"/>
  <c r="I114" i="1" s="1"/>
  <c r="F3" i="1"/>
  <c r="I3" i="1" s="1" a="1"/>
  <c r="I3" i="1" s="1"/>
  <c r="L130" i="1" l="1"/>
  <c r="I140" i="1" a="1"/>
  <c r="I140" i="1" s="1"/>
  <c r="L61" i="1"/>
  <c r="M30" i="1"/>
  <c r="L11" i="1"/>
  <c r="L30" i="1"/>
  <c r="M10" i="1"/>
  <c r="M80" i="1"/>
  <c r="L80" i="1"/>
  <c r="L2" i="1"/>
  <c r="M130" i="1"/>
  <c r="M89" i="1"/>
  <c r="L41" i="1"/>
  <c r="M129" i="1"/>
  <c r="L10" i="1"/>
  <c r="M140" i="1"/>
  <c r="I48" i="1" a="1"/>
  <c r="I48" i="1" s="1"/>
  <c r="L71" i="1"/>
  <c r="M70" i="1"/>
  <c r="L91" i="1"/>
  <c r="L70" i="1"/>
  <c r="L51" i="1"/>
  <c r="L121" i="1"/>
  <c r="M50" i="1"/>
  <c r="L50" i="1"/>
  <c r="M142" i="1"/>
  <c r="M132" i="1"/>
  <c r="M122" i="1"/>
  <c r="M112" i="1"/>
  <c r="M102" i="1"/>
  <c r="M92" i="1"/>
  <c r="M82" i="1"/>
  <c r="M72" i="1"/>
  <c r="M52" i="1"/>
  <c r="M12" i="1"/>
  <c r="L142" i="1"/>
  <c r="L132" i="1"/>
  <c r="L122" i="1"/>
  <c r="L112" i="1"/>
  <c r="L102" i="1"/>
  <c r="L92" i="1"/>
  <c r="L82" i="1"/>
  <c r="L72" i="1"/>
  <c r="L52" i="1"/>
  <c r="L12" i="1"/>
  <c r="M141" i="1"/>
  <c r="M121" i="1"/>
  <c r="M91" i="1"/>
  <c r="M71" i="1"/>
  <c r="M61" i="1"/>
  <c r="M51" i="1"/>
  <c r="M41" i="1"/>
  <c r="M11" i="1"/>
  <c r="M99" i="1"/>
  <c r="M49" i="1"/>
  <c r="M39" i="1"/>
  <c r="M29" i="1"/>
  <c r="M9" i="1"/>
  <c r="M2" i="1"/>
  <c r="L129" i="1"/>
  <c r="L99" i="1"/>
  <c r="L89" i="1"/>
  <c r="L49" i="1"/>
  <c r="L39" i="1"/>
  <c r="L29" i="1"/>
  <c r="L9" i="1"/>
  <c r="M98" i="1"/>
  <c r="M88" i="1"/>
  <c r="M48" i="1"/>
  <c r="M38" i="1"/>
  <c r="M18" i="1"/>
  <c r="M8" i="1"/>
  <c r="L98" i="1"/>
  <c r="L88" i="1"/>
  <c r="L38" i="1"/>
  <c r="L18" i="1"/>
  <c r="L8" i="1"/>
  <c r="I123" i="1" a="1"/>
  <c r="I123" i="1" s="1"/>
  <c r="M87" i="1"/>
  <c r="M67" i="1"/>
  <c r="M57" i="1"/>
  <c r="M47" i="1"/>
  <c r="M37" i="1"/>
  <c r="M17" i="1"/>
  <c r="M7" i="1"/>
  <c r="L40" i="1"/>
  <c r="L87" i="1"/>
  <c r="L67" i="1"/>
  <c r="L57" i="1"/>
  <c r="L47" i="1"/>
  <c r="L37" i="1"/>
  <c r="L17" i="1"/>
  <c r="L7" i="1"/>
  <c r="M146" i="1"/>
  <c r="M136" i="1"/>
  <c r="M86" i="1"/>
  <c r="M66" i="1"/>
  <c r="M56" i="1"/>
  <c r="M46" i="1"/>
  <c r="M36" i="1"/>
  <c r="M26" i="1"/>
  <c r="M16" i="1"/>
  <c r="M6" i="1"/>
  <c r="L146" i="1"/>
  <c r="L136" i="1"/>
  <c r="L86" i="1"/>
  <c r="L66" i="1"/>
  <c r="L56" i="1"/>
  <c r="L46" i="1"/>
  <c r="L36" i="1"/>
  <c r="L26" i="1"/>
  <c r="L16" i="1"/>
  <c r="L6" i="1"/>
  <c r="M105" i="1"/>
  <c r="M95" i="1"/>
  <c r="M85" i="1"/>
  <c r="M75" i="1"/>
  <c r="M65" i="1"/>
  <c r="M55" i="1"/>
  <c r="M45" i="1"/>
  <c r="M35" i="1"/>
  <c r="M15" i="1"/>
  <c r="L141" i="1"/>
  <c r="L105" i="1"/>
  <c r="L95" i="1"/>
  <c r="L85" i="1"/>
  <c r="L75" i="1"/>
  <c r="L65" i="1"/>
  <c r="L55" i="1"/>
  <c r="L45" i="1"/>
  <c r="L35" i="1"/>
  <c r="L15" i="1"/>
  <c r="M124" i="1"/>
  <c r="M84" i="1"/>
  <c r="M74" i="1"/>
  <c r="M64" i="1"/>
  <c r="M44" i="1"/>
  <c r="M34" i="1"/>
  <c r="M24" i="1"/>
  <c r="L124" i="1"/>
  <c r="L84" i="1"/>
  <c r="L74" i="1"/>
  <c r="L64" i="1"/>
  <c r="L44" i="1"/>
  <c r="L34" i="1"/>
  <c r="L24" i="1"/>
  <c r="M143" i="1"/>
  <c r="M133" i="1"/>
  <c r="M123" i="1"/>
  <c r="M113" i="1"/>
  <c r="M103" i="1"/>
  <c r="M93" i="1"/>
  <c r="M73" i="1"/>
  <c r="M43" i="1"/>
  <c r="M13" i="1"/>
  <c r="L143" i="1"/>
  <c r="L133" i="1"/>
  <c r="L113" i="1"/>
  <c r="L103" i="1"/>
  <c r="L93" i="1"/>
  <c r="L73" i="1"/>
  <c r="L43" i="1"/>
  <c r="L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<sst xmlns="http://schemas.openxmlformats.org/spreadsheetml/2006/main" count="1242" uniqueCount="427">
  <si>
    <t>USA</t>
  </si>
  <si>
    <t>Vice Media</t>
  </si>
  <si>
    <t>VICE</t>
  </si>
  <si>
    <t>Paramount Global</t>
  </si>
  <si>
    <t>VH1</t>
  </si>
  <si>
    <t>NBCUniversal (Comcast)</t>
  </si>
  <si>
    <t>USA Network</t>
  </si>
  <si>
    <t>Universal Kids</t>
  </si>
  <si>
    <t>TV Land</t>
  </si>
  <si>
    <t>Fox Corporation</t>
  </si>
  <si>
    <t>Tubi</t>
  </si>
  <si>
    <t>Warner Bros. Discovery</t>
  </si>
  <si>
    <t>TruTV</t>
  </si>
  <si>
    <t>TNT</t>
  </si>
  <si>
    <t>TLC</t>
  </si>
  <si>
    <t>Telemundo</t>
  </si>
  <si>
    <t>Turner</t>
  </si>
  <si>
    <t>TCM</t>
  </si>
  <si>
    <t>TBS</t>
  </si>
  <si>
    <t>SYFY</t>
  </si>
  <si>
    <t/>
  </si>
  <si>
    <t>STARZ</t>
  </si>
  <si>
    <t>Smithsonian Channel</t>
  </si>
  <si>
    <t>Showtime</t>
  </si>
  <si>
    <t>Peacock</t>
  </si>
  <si>
    <t>Gray Television</t>
  </si>
  <si>
    <t>Peachtree</t>
  </si>
  <si>
    <t>Public Broadcasting Service</t>
  </si>
  <si>
    <t>PBS (member stations)</t>
  </si>
  <si>
    <t>Paramount Network</t>
  </si>
  <si>
    <t>Oxygen</t>
  </si>
  <si>
    <t>Nickelodeon</t>
  </si>
  <si>
    <t>NBC (local affiliates)</t>
  </si>
  <si>
    <t>The Walt Disney Company</t>
  </si>
  <si>
    <t>National Geographic</t>
  </si>
  <si>
    <t>Nat Geo Wild</t>
  </si>
  <si>
    <t>MTV</t>
  </si>
  <si>
    <t>MSNBC</t>
  </si>
  <si>
    <t>MGM</t>
  </si>
  <si>
    <t>Max</t>
  </si>
  <si>
    <t>Magnolia Network</t>
  </si>
  <si>
    <t>Logo</t>
  </si>
  <si>
    <t>Lifetime</t>
  </si>
  <si>
    <t>Investigation Discovery</t>
  </si>
  <si>
    <t>History</t>
  </si>
  <si>
    <t>HGTV</t>
  </si>
  <si>
    <t>HBO</t>
  </si>
  <si>
    <t>Golf Channel</t>
  </si>
  <si>
    <t>FXX</t>
  </si>
  <si>
    <t>FX</t>
  </si>
  <si>
    <t>FS2</t>
  </si>
  <si>
    <t>FS1</t>
  </si>
  <si>
    <t>Freeform</t>
  </si>
  <si>
    <t>Fox News</t>
  </si>
  <si>
    <t>Fox Business</t>
  </si>
  <si>
    <t>Fox (local affiliates)</t>
  </si>
  <si>
    <t>Food Network</t>
  </si>
  <si>
    <t>ESPN</t>
  </si>
  <si>
    <t>E!</t>
  </si>
  <si>
    <t>Disney XD</t>
  </si>
  <si>
    <t>Disney Junior</t>
  </si>
  <si>
    <t>Disney Channel</t>
  </si>
  <si>
    <t>Discovery Channel</t>
  </si>
  <si>
    <t>Comedy Central</t>
  </si>
  <si>
    <t>CNN</t>
  </si>
  <si>
    <t>CNBC</t>
  </si>
  <si>
    <t>CMT</t>
  </si>
  <si>
    <t>Cinemax</t>
  </si>
  <si>
    <t>CBS (local affiliates)</t>
  </si>
  <si>
    <t>Cartoon Network</t>
  </si>
  <si>
    <t>Bravo</t>
  </si>
  <si>
    <t>Big Ten Network</t>
  </si>
  <si>
    <t>BET</t>
  </si>
  <si>
    <t>BBC</t>
  </si>
  <si>
    <t>Animal Planet</t>
  </si>
  <si>
    <t>AMC Networks</t>
  </si>
  <si>
    <t>AMC</t>
  </si>
  <si>
    <t>Adult Swim</t>
  </si>
  <si>
    <t>ABC (local affiliates)</t>
  </si>
  <si>
    <t>A&amp;E</t>
  </si>
  <si>
    <t>Canada</t>
  </si>
  <si>
    <t>Quebecor (Groupe TVA)</t>
  </si>
  <si>
    <t>Zeste</t>
  </si>
  <si>
    <t>Corus Entertainment</t>
  </si>
  <si>
    <t>YTV</t>
  </si>
  <si>
    <t>W Network</t>
  </si>
  <si>
    <t>Bell Media</t>
  </si>
  <si>
    <t>TVA Sports</t>
  </si>
  <si>
    <t>TVA (local stations)</t>
  </si>
  <si>
    <t>TSN</t>
  </si>
  <si>
    <t>True Crime</t>
  </si>
  <si>
    <t>Treehouse</t>
  </si>
  <si>
    <t>TÉMOIN</t>
  </si>
  <si>
    <t>Rogers Sports &amp; Media</t>
  </si>
  <si>
    <t>Sportsnet One/360/World</t>
  </si>
  <si>
    <t>Sportsnet channels</t>
  </si>
  <si>
    <t>Sportsnet (channels)</t>
  </si>
  <si>
    <t>Slice</t>
  </si>
  <si>
    <t>Showtime Canada</t>
  </si>
  <si>
    <t>Showcase</t>
  </si>
  <si>
    <t>RDS</t>
  </si>
  <si>
    <t>QUB</t>
  </si>
  <si>
    <t>Prise 2</t>
  </si>
  <si>
    <t>Oxygen.</t>
  </si>
  <si>
    <t>Oxygen True Crime</t>
  </si>
  <si>
    <t>OMNI</t>
  </si>
  <si>
    <t>Noovo (local stations)</t>
  </si>
  <si>
    <t>National Geographic Canada</t>
  </si>
  <si>
    <t>Much</t>
  </si>
  <si>
    <t>MTV Canada</t>
  </si>
  <si>
    <t>LCN</t>
  </si>
  <si>
    <t>CBC/Radio-Canada</t>
  </si>
  <si>
    <t>Ici RDI</t>
  </si>
  <si>
    <t>Ici Radio-Canada Télé (local stations)</t>
  </si>
  <si>
    <t>Ici Explora</t>
  </si>
  <si>
    <t>Ici ARTV</t>
  </si>
  <si>
    <t>Home Network</t>
  </si>
  <si>
    <t>HBO Canada</t>
  </si>
  <si>
    <t>Global (local stations)</t>
  </si>
  <si>
    <t>FXX Canada</t>
  </si>
  <si>
    <t>FX Canada</t>
  </si>
  <si>
    <t>Flavour Network</t>
  </si>
  <si>
    <t>Évasion</t>
  </si>
  <si>
    <t>DejaView</t>
  </si>
  <si>
    <t>CTV Sci-Fi</t>
  </si>
  <si>
    <t>CTV Life</t>
  </si>
  <si>
    <t>CTV Drama</t>
  </si>
  <si>
    <t>CTV Comedy</t>
  </si>
  <si>
    <t>CTV (local stations)</t>
  </si>
  <si>
    <t>Comedy Central Canada</t>
  </si>
  <si>
    <t>Citytv (local stations)</t>
  </si>
  <si>
    <t>CBC Television (local stations)</t>
  </si>
  <si>
    <t>CBC News Network</t>
  </si>
  <si>
    <t>CBC (loal stations)</t>
  </si>
  <si>
    <t>CASA</t>
  </si>
  <si>
    <t>BBC Canada</t>
  </si>
  <si>
    <t>AMC Canada</t>
  </si>
  <si>
    <t>addikTV</t>
  </si>
  <si>
    <t>A&amp;E Canada</t>
  </si>
  <si>
    <t>Country</t>
  </si>
  <si>
    <t>Owner</t>
  </si>
  <si>
    <t>Network</t>
  </si>
  <si>
    <t>In-Scope</t>
  </si>
  <si>
    <t>N</t>
  </si>
  <si>
    <t>Adult Swim Canada</t>
  </si>
  <si>
    <t>Discovery Canada</t>
  </si>
  <si>
    <t>Add Country</t>
  </si>
  <si>
    <t>Y</t>
  </si>
  <si>
    <t>Updated_Channel_Name</t>
  </si>
  <si>
    <t>Feed</t>
  </si>
  <si>
    <t>Cinemax Hits Eastern</t>
  </si>
  <si>
    <t>FX Networks East Coast</t>
  </si>
  <si>
    <t>History Canada East</t>
  </si>
  <si>
    <t>Lifetime Real Women East</t>
  </si>
  <si>
    <t>MGM+ Hits- East</t>
  </si>
  <si>
    <t>Oprah Winfrey Network USA Eastern</t>
  </si>
  <si>
    <t>A&amp;E US</t>
  </si>
  <si>
    <t>Bravo USA</t>
  </si>
  <si>
    <t>Cartoon Network USA</t>
  </si>
  <si>
    <t>CMT US</t>
  </si>
  <si>
    <t>Comedy Central (US)</t>
  </si>
  <si>
    <t>Discovery Channel (US)</t>
  </si>
  <si>
    <t>Disney</t>
  </si>
  <si>
    <t>Disney XD USA</t>
  </si>
  <si>
    <t>E! Entertainment USA</t>
  </si>
  <si>
    <t>Food Network USA</t>
  </si>
  <si>
    <t>FUSE TV</t>
  </si>
  <si>
    <t>HBO Family</t>
  </si>
  <si>
    <t>HBO Hits</t>
  </si>
  <si>
    <t>HGTV USA</t>
  </si>
  <si>
    <t>History Channel US</t>
  </si>
  <si>
    <t xml:space="preserve">ION </t>
  </si>
  <si>
    <t>Lifetime Network US</t>
  </si>
  <si>
    <t>MTV USA</t>
  </si>
  <si>
    <t>NBC Universo</t>
  </si>
  <si>
    <t>Paramount Network USA</t>
  </si>
  <si>
    <t>Paramount+ with Showtime</t>
  </si>
  <si>
    <t>Syfy</t>
  </si>
  <si>
    <t>TMC (US)</t>
  </si>
  <si>
    <t>Univision</t>
  </si>
  <si>
    <t>Animal Planet US</t>
  </si>
  <si>
    <t>BBC America</t>
  </si>
  <si>
    <t>Cartoon Network Canada</t>
  </si>
  <si>
    <t>Cinemaxern</t>
  </si>
  <si>
    <t>Cinemax Actionern</t>
  </si>
  <si>
    <t>Cinemax Classicsern</t>
  </si>
  <si>
    <t>Crave1</t>
  </si>
  <si>
    <t>Crave2</t>
  </si>
  <si>
    <t>Crave3</t>
  </si>
  <si>
    <t>Disney Channel Canada</t>
  </si>
  <si>
    <t>Family Channel Canada</t>
  </si>
  <si>
    <t>Freeform Feed</t>
  </si>
  <si>
    <t>FXX USAern</t>
  </si>
  <si>
    <t>FYI USAern</t>
  </si>
  <si>
    <t>Game Show Network</t>
  </si>
  <si>
    <t>HBO Comedy</t>
  </si>
  <si>
    <t>HBO Drama (HBO 3)ern</t>
  </si>
  <si>
    <t>HBO Movies</t>
  </si>
  <si>
    <t>HBO Zone</t>
  </si>
  <si>
    <t>History Channel Espanolern</t>
  </si>
  <si>
    <t>Investigation Discovery USAern</t>
  </si>
  <si>
    <t>Lifetime Movies</t>
  </si>
  <si>
    <t>LOGO</t>
  </si>
  <si>
    <t>Magnolia</t>
  </si>
  <si>
    <t>MGM+</t>
  </si>
  <si>
    <t>MOVIEplexern</t>
  </si>
  <si>
    <t>MTV 2</t>
  </si>
  <si>
    <t>MTV Classic</t>
  </si>
  <si>
    <t>MTV Tr3s</t>
  </si>
  <si>
    <t>National Geographic USern</t>
  </si>
  <si>
    <t>Nickelodeon USA Feed</t>
  </si>
  <si>
    <t>OuterMaxern</t>
  </si>
  <si>
    <t>PBS - Networkern</t>
  </si>
  <si>
    <t>Showtime 2ern</t>
  </si>
  <si>
    <t>Showtime Extremeern</t>
  </si>
  <si>
    <t>Showtime Nextern</t>
  </si>
  <si>
    <t>Showtime Showcaseern</t>
  </si>
  <si>
    <t>Showtime Showcase</t>
  </si>
  <si>
    <t>SHOXBETern</t>
  </si>
  <si>
    <t>Starzern</t>
  </si>
  <si>
    <t>Starz Cinemaern</t>
  </si>
  <si>
    <t>Starz Comedyern</t>
  </si>
  <si>
    <t>Starz Edgeern</t>
  </si>
  <si>
    <t>Starz Encoreern</t>
  </si>
  <si>
    <t>Starz Encore Actionern</t>
  </si>
  <si>
    <t>Starz Encore Familyern</t>
  </si>
  <si>
    <t>Starz Encore Suspenseern</t>
  </si>
  <si>
    <t>Starz In Blackern</t>
  </si>
  <si>
    <t>Starz Kids &amp; Familyern</t>
  </si>
  <si>
    <t>STARZ1</t>
  </si>
  <si>
    <t>STARZ2</t>
  </si>
  <si>
    <t>SundanceTV USA</t>
  </si>
  <si>
    <t>ThrillerMax</t>
  </si>
  <si>
    <t>TLC USAern</t>
  </si>
  <si>
    <t>TMC Xtraern</t>
  </si>
  <si>
    <t>truTV USAern</t>
  </si>
  <si>
    <t>TV Landern</t>
  </si>
  <si>
    <t>USA Network Feed</t>
  </si>
  <si>
    <t>W (WTN)</t>
  </si>
  <si>
    <t>Crave4</t>
  </si>
  <si>
    <t>ION</t>
  </si>
  <si>
    <t>- East</t>
  </si>
  <si>
    <t>- West</t>
  </si>
  <si>
    <t>CTV 2 (local stations)</t>
  </si>
  <si>
    <t>CNBC America</t>
  </si>
  <si>
    <t>CNN America</t>
  </si>
  <si>
    <t>DejaView Canada</t>
  </si>
  <si>
    <t>ESPN America</t>
  </si>
  <si>
    <t>Golf Channel America</t>
  </si>
  <si>
    <t>Home Network Canada</t>
  </si>
  <si>
    <t>MSNBC America</t>
  </si>
  <si>
    <t>Nat Geo Wild America</t>
  </si>
  <si>
    <t>Oxygen. Canada</t>
  </si>
  <si>
    <t>RDS Canada</t>
  </si>
  <si>
    <t>Slice America</t>
  </si>
  <si>
    <t>Slice Canada</t>
  </si>
  <si>
    <t>Smithsonian Channel America</t>
  </si>
  <si>
    <t>TCM America</t>
  </si>
  <si>
    <t>Treehouse Canada</t>
  </si>
  <si>
    <t>Tubi America</t>
  </si>
  <si>
    <t>Universal Kids America</t>
  </si>
  <si>
    <t>VICE America</t>
  </si>
  <si>
    <t>VICE Canada</t>
  </si>
  <si>
    <t>YTV Canada</t>
  </si>
  <si>
    <t>A&amp;E America- East</t>
  </si>
  <si>
    <t>A&amp;E America- West</t>
  </si>
  <si>
    <t>Adult Swim America- East</t>
  </si>
  <si>
    <t>Adult Swim America- West</t>
  </si>
  <si>
    <t>Adult Swim Canada- East</t>
  </si>
  <si>
    <t>Adult Swim Canada- West</t>
  </si>
  <si>
    <t>AMC America- East</t>
  </si>
  <si>
    <t>AMC America- West</t>
  </si>
  <si>
    <t>AMC Canada- East</t>
  </si>
  <si>
    <t>AMC Canada- West</t>
  </si>
  <si>
    <t>Animal Planet America- East</t>
  </si>
  <si>
    <t>Animal Planet America- West</t>
  </si>
  <si>
    <t>BBC America- East</t>
  </si>
  <si>
    <t>BBC America- West</t>
  </si>
  <si>
    <t>BBC Canada- East</t>
  </si>
  <si>
    <t>BBC Canada- West</t>
  </si>
  <si>
    <t>BET America- East</t>
  </si>
  <si>
    <t>BET America- West</t>
  </si>
  <si>
    <t>Bravo America- East</t>
  </si>
  <si>
    <t>Bravo America- West</t>
  </si>
  <si>
    <t>Bravo Canada- East</t>
  </si>
  <si>
    <t>Bravo Canada- West</t>
  </si>
  <si>
    <t>Cartoon Network America- East</t>
  </si>
  <si>
    <t>Cartoon Network America- West</t>
  </si>
  <si>
    <t>Cartoon Network Canada- East</t>
  </si>
  <si>
    <t>Cartoon Network Canada- West</t>
  </si>
  <si>
    <t>Cinemax America- East</t>
  </si>
  <si>
    <t>Cinemax America- West</t>
  </si>
  <si>
    <t>CMT America- East</t>
  </si>
  <si>
    <t>CMT America- West</t>
  </si>
  <si>
    <t>Comedy Central America- East</t>
  </si>
  <si>
    <t>Comedy Central America- West</t>
  </si>
  <si>
    <t>Comedy Central Canada- East</t>
  </si>
  <si>
    <t>Comedy Central Canada- West</t>
  </si>
  <si>
    <t>CTV Comedy- East</t>
  </si>
  <si>
    <t>CTV Comedy- West</t>
  </si>
  <si>
    <t>CTV Drama- East</t>
  </si>
  <si>
    <t>CTV Drama- West</t>
  </si>
  <si>
    <t>CTV Life- East</t>
  </si>
  <si>
    <t>CTV Life- West</t>
  </si>
  <si>
    <t>CTV Sci-Fi- East</t>
  </si>
  <si>
    <t>CTV Sci-Fi- West</t>
  </si>
  <si>
    <t>Crave1- East</t>
  </si>
  <si>
    <t>Crave1- West</t>
  </si>
  <si>
    <t>Crave2- East</t>
  </si>
  <si>
    <t>Crave2- West</t>
  </si>
  <si>
    <t>Crave3- East</t>
  </si>
  <si>
    <t>Crave3- West</t>
  </si>
  <si>
    <t>Crave4- East</t>
  </si>
  <si>
    <t>Crave4- West</t>
  </si>
  <si>
    <t>Discovery Canada- East</t>
  </si>
  <si>
    <t>Discovery Canada- West</t>
  </si>
  <si>
    <t>Discovery Channel America- East</t>
  </si>
  <si>
    <t>Discovery Channel America- West</t>
  </si>
  <si>
    <t>Disney Channel America- East</t>
  </si>
  <si>
    <t>Disney Channel America- West</t>
  </si>
  <si>
    <t>Disney Channel Canada- East</t>
  </si>
  <si>
    <t>Disney Channel Canada- West</t>
  </si>
  <si>
    <t>Disney Junior America- East</t>
  </si>
  <si>
    <t>Disney Junior America- West</t>
  </si>
  <si>
    <t>Disney Junior Canada- East</t>
  </si>
  <si>
    <t>Disney Junior Canada- West</t>
  </si>
  <si>
    <t>Disney XD America- East</t>
  </si>
  <si>
    <t>Disney XD America- West</t>
  </si>
  <si>
    <t>Disney XD Canada- East</t>
  </si>
  <si>
    <t>Disney XD Canada- West</t>
  </si>
  <si>
    <t>E! America- East</t>
  </si>
  <si>
    <t>E! America- West</t>
  </si>
  <si>
    <t>E! Canada- East</t>
  </si>
  <si>
    <t>E! Canada- West</t>
  </si>
  <si>
    <t>Flavour Network Canada- East</t>
  </si>
  <si>
    <t>Flavour Network Canada- West</t>
  </si>
  <si>
    <t>Food Network America- East</t>
  </si>
  <si>
    <t>Food Network America- West</t>
  </si>
  <si>
    <t>Food Network Canada- East</t>
  </si>
  <si>
    <t>Food Network Canada- West</t>
  </si>
  <si>
    <t>Freeform America- East</t>
  </si>
  <si>
    <t>Freeform America- West</t>
  </si>
  <si>
    <t>FX- East</t>
  </si>
  <si>
    <t>FX- West</t>
  </si>
  <si>
    <t>FX Canada- East</t>
  </si>
  <si>
    <t>FX Canada- West</t>
  </si>
  <si>
    <t>FXX America- East</t>
  </si>
  <si>
    <t>FXX America- West</t>
  </si>
  <si>
    <t>FXX Canada- East</t>
  </si>
  <si>
    <t>FXX Canada- West</t>
  </si>
  <si>
    <t>HBO America- East</t>
  </si>
  <si>
    <t>HBO America- West</t>
  </si>
  <si>
    <t>HBO Canada- East</t>
  </si>
  <si>
    <t>HBO Canada- West</t>
  </si>
  <si>
    <t>HGTV America- East</t>
  </si>
  <si>
    <t>HGTV America- West</t>
  </si>
  <si>
    <t>HGTV Canada- East</t>
  </si>
  <si>
    <t>HGTV Canada- West</t>
  </si>
  <si>
    <t>History America- East</t>
  </si>
  <si>
    <t>History America- West</t>
  </si>
  <si>
    <t>History Canada- East</t>
  </si>
  <si>
    <t>History Canada- West</t>
  </si>
  <si>
    <t>ION- East</t>
  </si>
  <si>
    <t>ION- West</t>
  </si>
  <si>
    <t>Investigation Discovery America- East</t>
  </si>
  <si>
    <t>Investigation Discovery America- West</t>
  </si>
  <si>
    <t>Lifetime America- East</t>
  </si>
  <si>
    <t>Lifetime America- West</t>
  </si>
  <si>
    <t>Logo America- East</t>
  </si>
  <si>
    <t>Logo America- West</t>
  </si>
  <si>
    <t>Magnolia Network America- East</t>
  </si>
  <si>
    <t>Magnolia Network America- West</t>
  </si>
  <si>
    <t>Magnolia Network Canada- East</t>
  </si>
  <si>
    <t>Magnolia Network Canada- West</t>
  </si>
  <si>
    <t>Max- East</t>
  </si>
  <si>
    <t>Max- West</t>
  </si>
  <si>
    <t>MGM- East</t>
  </si>
  <si>
    <t>MGM- West</t>
  </si>
  <si>
    <t>MTV America- East</t>
  </si>
  <si>
    <t>MTV America- West</t>
  </si>
  <si>
    <t>MTV Canada- East</t>
  </si>
  <si>
    <t>MTV Canada- West</t>
  </si>
  <si>
    <t>Much Canada- East</t>
  </si>
  <si>
    <t>Much Canada- West</t>
  </si>
  <si>
    <t>National Geographic America- East</t>
  </si>
  <si>
    <t>National Geographic America- West</t>
  </si>
  <si>
    <t>Nickelodeon America- East</t>
  </si>
  <si>
    <t>Nickelodeon America- West</t>
  </si>
  <si>
    <t>Nickelodeon Canada- East</t>
  </si>
  <si>
    <t>Nickelodeon Canada- West</t>
  </si>
  <si>
    <t>Oxygen America- East</t>
  </si>
  <si>
    <t>Oxygen America- West</t>
  </si>
  <si>
    <t>Oxygen True Crime Canada- East</t>
  </si>
  <si>
    <t>Oxygen True Crime Canada- West</t>
  </si>
  <si>
    <t>Paramount Network America- East</t>
  </si>
  <si>
    <t>Paramount Network America- West</t>
  </si>
  <si>
    <t>Showcase Canada- East</t>
  </si>
  <si>
    <t>Showcase Canada- West</t>
  </si>
  <si>
    <t>Showtime America- East</t>
  </si>
  <si>
    <t>Showtime America- West</t>
  </si>
  <si>
    <t>STARZ America- East</t>
  </si>
  <si>
    <t>STARZ America- West</t>
  </si>
  <si>
    <t>SYFY- East</t>
  </si>
  <si>
    <t>SYFY- West</t>
  </si>
  <si>
    <t>TBS America- East</t>
  </si>
  <si>
    <t>TBS America- West</t>
  </si>
  <si>
    <t>TLC America- East</t>
  </si>
  <si>
    <t>TLC America- West</t>
  </si>
  <si>
    <t>TNT America- East</t>
  </si>
  <si>
    <t>TNT America- West</t>
  </si>
  <si>
    <t>True Crime Canada- East</t>
  </si>
  <si>
    <t>True Crime Canada- West</t>
  </si>
  <si>
    <t>TruTV- East</t>
  </si>
  <si>
    <t>TruTV- West</t>
  </si>
  <si>
    <t>TV Land America- East</t>
  </si>
  <si>
    <t>TV Land America- West</t>
  </si>
  <si>
    <t>USA Network America- East</t>
  </si>
  <si>
    <t>USA Network America- West</t>
  </si>
  <si>
    <t>USA Network Canada- East</t>
  </si>
  <si>
    <t>USA Network Canada- West</t>
  </si>
  <si>
    <t>VH1 America- East</t>
  </si>
  <si>
    <t>VH1 America- West</t>
  </si>
  <si>
    <t>VH1 Canada- East</t>
  </si>
  <si>
    <t>VH1 Canada- West</t>
  </si>
  <si>
    <t>W Network Canada- East</t>
  </si>
  <si>
    <t>W Network Canada- West</t>
  </si>
  <si>
    <t>Channel/Network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</si>
</sst>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A0B9-3054-49F4-8680-2A5BEADEDC72}">
  <sheetPr filterMode="1"/>
  <dimension ref="A1:M309"/>
  <sheetViews>
    <sheetView topLeftCell="F93" workbookViewId="0">
      <selection activeCell="L2" sqref="L2:M146"/>
    </sheetView>
  </sheetViews>
  <sheetFormatPr defaultRowHeight="15" x14ac:dyDescent="0.25"/>
  <cols>
    <col min="1" max="1" width="26.42578125" style="1" customWidth="1"/>
    <col min="2" max="2" width="11" style="10" bestFit="1" customWidth="1"/>
    <col min="3" max="3" width="34.42578125" style="1" customWidth="1"/>
    <col min="4" max="4" width="14.140625" style="1" customWidth="1"/>
    <col min="5" max="5" width="9.140625" style="13"/>
    <col min="6" max="6" width="28.5703125" customWidth="1"/>
    <col min="7" max="7" width="9.140625" style="13"/>
    <col min="10" max="10" width="25.7109375" customWidth="1"/>
  </cols>
  <sheetData>
    <row r="1" spans="1:13" ht="27" x14ac:dyDescent="0.25">
      <c r="A1" s="5" t="s">
        <v>141</v>
      </c>
      <c r="B1" s="8" t="s">
        <v>142</v>
      </c>
      <c r="C1" s="5" t="s">
        <v>140</v>
      </c>
      <c r="D1" s="5" t="s">
        <v>139</v>
      </c>
      <c r="E1" s="8" t="s">
        <v>146</v>
      </c>
      <c r="F1" s="5" t="s">
        <v>148</v>
      </c>
      <c r="G1" s="8" t="s">
        <v>149</v>
      </c>
      <c r="J1" s="6" t="s">
        <v>156</v>
      </c>
      <c r="L1" s="14" t="s">
        <v>241</v>
      </c>
      <c r="M1" s="14" t="s">
        <v>242</v>
      </c>
    </row>
    <row r="2" spans="1:13" x14ac:dyDescent="0.25">
      <c r="A2" s="2" t="s">
        <v>79</v>
      </c>
      <c r="B2" s="9" t="s">
        <v>147</v>
      </c>
      <c r="C2" s="2" t="s">
        <v>33</v>
      </c>
      <c r="D2" s="2" t="s">
        <v>0</v>
      </c>
      <c r="E2" s="9" t="s">
        <v>147</v>
      </c>
      <c r="F2" t="str">
        <f>IF(E2="Y", A2 &amp; IF(D2="Canada", " Canada", IF(D2="USA", " America", "")), A2)</f>
        <v>A&amp;E America</v>
      </c>
      <c r="G2" s="9" t="s">
        <v>147</v>
      </c>
      <c r="H2" t="str" cm="1">
        <f t="array" ref="H2">IFERROR(INDEX($J$1:$J$104,MATCH(TRUE,ISNUMBER(SEARCH(TRIM(A2),TRIM($J$1:$J$104))),0)),"")</f>
        <v>A&amp;E US</v>
      </c>
      <c r="I2" cm="1">
        <f t="array" ref="I2">INDEX($J$1:$J$104, _xlfn.XMATCH(TRUE, _xlfn.BYROW($J$1:$J$104, _xlfn.LAMBDA(_xlpm.x, COUNTIF(F2,"*"&amp;_xlpm.x&amp;"*")&gt;0)), 0))</f>
        <v>0</v>
      </c>
      <c r="J2" s="7" t="s">
        <v>77</v>
      </c>
      <c r="L2" t="str">
        <f>IF(G2="Y", F2&amp;L$1, "")</f>
        <v>A&amp;E America- East</v>
      </c>
      <c r="M2" t="str">
        <f>IF(G2="Y", F2&amp;M$1, "")</f>
        <v>A&amp;E America- West</v>
      </c>
    </row>
    <row r="3" spans="1:13" hidden="1" x14ac:dyDescent="0.25">
      <c r="A3" s="2" t="s">
        <v>138</v>
      </c>
      <c r="B3" s="9" t="s">
        <v>147</v>
      </c>
      <c r="C3" s="2" t="s">
        <v>83</v>
      </c>
      <c r="D3" s="2" t="s">
        <v>80</v>
      </c>
      <c r="E3" s="9" t="s">
        <v>143</v>
      </c>
      <c r="F3" t="str">
        <f>IF(E3="yes", A3 &amp; IF(D3="Canada", " Canada", IF(D3="USA", " America", "")), A3)</f>
        <v>A&amp;E Canada</v>
      </c>
      <c r="H3" t="str" cm="1">
        <f t="array" ref="H3">IFERROR(INDEX($J$1:$J$104,MATCH(TRUE,ISNUMBER(SEARCH(TRIM(A3),TRIM($J$1:$J$104))),0)),"")</f>
        <v/>
      </c>
      <c r="I3" cm="1">
        <f t="array" ref="I3">INDEX($J$1:$J$104, _xlfn.XMATCH(TRUE, _xlfn.BYROW($J$1:$J$104, _xlfn.LAMBDA(_xlpm.x, COUNTIF(F3,"*"&amp;_xlpm.x&amp;"*")&gt;0)), 0))</f>
        <v>0</v>
      </c>
      <c r="J3" s="7" t="s">
        <v>76</v>
      </c>
      <c r="L3" t="str">
        <f t="shared" ref="L3:L66" si="0">IF(G3="Y", F3&amp;L$1, "")</f>
        <v/>
      </c>
      <c r="M3" t="str">
        <f t="shared" ref="M3:M66" si="1">IF(G3="Y", F3&amp;M$1, "")</f>
        <v/>
      </c>
    </row>
    <row r="4" spans="1:13" hidden="1" x14ac:dyDescent="0.25">
      <c r="A4" s="2" t="s">
        <v>78</v>
      </c>
      <c r="B4" s="9" t="s">
        <v>147</v>
      </c>
      <c r="C4" s="2" t="s">
        <v>33</v>
      </c>
      <c r="D4" s="2" t="s">
        <v>0</v>
      </c>
      <c r="E4" s="9" t="s">
        <v>143</v>
      </c>
      <c r="F4" t="str">
        <f>IF(E4="Y", A4 &amp; IF(D4="Canada", " Canada", IF(D4="USA", " America", "")), A4)</f>
        <v>ABC (local affiliates)</v>
      </c>
      <c r="H4" t="str" cm="1">
        <f t="array" ref="H4">IFERROR(INDEX($J$1:$J$104,MATCH(TRUE,ISNUMBER(SEARCH(TRIM(A4),TRIM($J$1:$J$104))),0)),"")</f>
        <v/>
      </c>
      <c r="I4" cm="1">
        <f t="array" ref="I4">INDEX($J$1:$J$104, _xlfn.XMATCH(TRUE, _xlfn.BYROW($J$1:$J$104, _xlfn.LAMBDA(_xlpm.x, COUNTIF(F4,"*"&amp;_xlpm.x&amp;"*")&gt;0)), 0))</f>
        <v>0</v>
      </c>
      <c r="J4" s="6" t="s">
        <v>180</v>
      </c>
      <c r="L4" t="str">
        <f t="shared" si="0"/>
        <v/>
      </c>
      <c r="M4" t="str">
        <f t="shared" si="1"/>
        <v/>
      </c>
    </row>
    <row r="5" spans="1:13" hidden="1" x14ac:dyDescent="0.25">
      <c r="A5" s="2" t="s">
        <v>137</v>
      </c>
      <c r="B5" s="9" t="s">
        <v>143</v>
      </c>
      <c r="C5" s="2" t="s">
        <v>81</v>
      </c>
      <c r="D5" s="2" t="s">
        <v>80</v>
      </c>
      <c r="F5" t="str">
        <f>IF(E5="Y", A5 &amp; IF(D5="Canada", " Canada", IF(D5="USA", " America", "")), A5)</f>
        <v>addikTV</v>
      </c>
      <c r="H5" t="str" cm="1">
        <f t="array" ref="H5">IFERROR(INDEX($J$1:$J$104,MATCH(TRUE,ISNUMBER(SEARCH(TRIM(A5),TRIM($J$1:$J$104))),0)),"")</f>
        <v/>
      </c>
      <c r="I5" cm="1">
        <f t="array" ref="I5">INDEX($J$1:$J$104, _xlfn.XMATCH(TRUE, _xlfn.BYROW($J$1:$J$104, _xlfn.LAMBDA(_xlpm.x, COUNTIF(F5,"*"&amp;_xlpm.x&amp;"*")&gt;0)), 0))</f>
        <v>0</v>
      </c>
      <c r="J5" s="7" t="s">
        <v>181</v>
      </c>
      <c r="L5" t="str">
        <f t="shared" si="0"/>
        <v/>
      </c>
      <c r="M5" t="str">
        <f t="shared" si="1"/>
        <v/>
      </c>
    </row>
    <row r="6" spans="1:13" x14ac:dyDescent="0.25">
      <c r="A6" s="2" t="s">
        <v>77</v>
      </c>
      <c r="B6" s="9" t="s">
        <v>147</v>
      </c>
      <c r="C6" s="2" t="s">
        <v>11</v>
      </c>
      <c r="D6" s="2" t="s">
        <v>0</v>
      </c>
      <c r="E6" s="9" t="s">
        <v>147</v>
      </c>
      <c r="F6" t="str">
        <f>IF(E6="Y", A6 &amp; IF(D6="Canada", " Canada", IF(D6="USA", " America", "")), A6)</f>
        <v>Adult Swim America</v>
      </c>
      <c r="G6" s="9" t="s">
        <v>147</v>
      </c>
      <c r="H6" t="str" cm="1">
        <f t="array" ref="H6">IFERROR(INDEX($J$1:$J$104,MATCH(TRUE,ISNUMBER(SEARCH(TRIM(A6),TRIM($J$1:$J$104))),0)),"")</f>
        <v>Adult Swim</v>
      </c>
      <c r="I6" t="str" cm="1">
        <f t="array" ref="I6">INDEX($J$1:$J$104, _xlfn.XMATCH(TRUE, _xlfn.BYROW($J$1:$J$104, _xlfn.LAMBDA(_xlpm.x, COUNTIF(F6,"*"&amp;_xlpm.x&amp;"*")&gt;0)), 0))</f>
        <v>Adult Swim</v>
      </c>
      <c r="J6" s="6" t="s">
        <v>72</v>
      </c>
      <c r="L6" t="str">
        <f t="shared" si="0"/>
        <v>Adult Swim America- East</v>
      </c>
      <c r="M6" t="str">
        <f t="shared" si="1"/>
        <v>Adult Swim America- West</v>
      </c>
    </row>
    <row r="7" spans="1:13" x14ac:dyDescent="0.25">
      <c r="A7" s="2" t="s">
        <v>144</v>
      </c>
      <c r="B7" s="9" t="s">
        <v>147</v>
      </c>
      <c r="C7" s="2" t="s">
        <v>83</v>
      </c>
      <c r="D7" s="2" t="s">
        <v>80</v>
      </c>
      <c r="E7" s="9" t="s">
        <v>143</v>
      </c>
      <c r="F7" t="str">
        <f>IF(E7="yes", A7 &amp; IF(D7="Canada", " Canada", IF(D7="USA", " America", "")), A7)</f>
        <v>Adult Swim Canada</v>
      </c>
      <c r="G7" s="9" t="s">
        <v>147</v>
      </c>
      <c r="H7" t="str" cm="1">
        <f t="array" ref="H7">IFERROR(INDEX($J$1:$J$104,MATCH(TRUE,ISNUMBER(SEARCH(TRIM(A7),TRIM($J$1:$J$104))),0)),"")</f>
        <v/>
      </c>
      <c r="I7" t="str" cm="1">
        <f t="array" ref="I7">INDEX($J$1:$J$104, _xlfn.XMATCH(TRUE, _xlfn.BYROW($J$1:$J$104, _xlfn.LAMBDA(_xlpm.x, COUNTIF(F7,"*"&amp;_xlpm.x&amp;"*")&gt;0)), 0))</f>
        <v>Adult Swim</v>
      </c>
      <c r="J7" s="7" t="s">
        <v>157</v>
      </c>
      <c r="L7" t="str">
        <f t="shared" si="0"/>
        <v>Adult Swim Canada- East</v>
      </c>
      <c r="M7" t="str">
        <f t="shared" si="1"/>
        <v>Adult Swim Canada- West</v>
      </c>
    </row>
    <row r="8" spans="1:13" x14ac:dyDescent="0.25">
      <c r="A8" s="2" t="s">
        <v>76</v>
      </c>
      <c r="B8" s="9" t="s">
        <v>147</v>
      </c>
      <c r="C8" s="2" t="s">
        <v>75</v>
      </c>
      <c r="D8" s="2" t="s">
        <v>0</v>
      </c>
      <c r="E8" s="9" t="s">
        <v>147</v>
      </c>
      <c r="F8" t="str">
        <f>IF(E8="Y", A8 &amp; IF(D8="Canada", " Canada", IF(D8="USA", " America", "")), A8)</f>
        <v>AMC America</v>
      </c>
      <c r="G8" s="9" t="s">
        <v>147</v>
      </c>
      <c r="H8" t="str" cm="1">
        <f t="array" ref="H8">IFERROR(INDEX($J$1:$J$104,MATCH(TRUE,ISNUMBER(SEARCH(TRIM(A8),TRIM($J$1:$J$104))),0)),"")</f>
        <v>AMC</v>
      </c>
      <c r="I8" t="str" cm="1">
        <f t="array" ref="I8">INDEX($J$1:$J$104, _xlfn.XMATCH(TRUE, _xlfn.BYROW($J$1:$J$104, _xlfn.LAMBDA(_xlpm.x, COUNTIF(F8,"*"&amp;_xlpm.x&amp;"*")&gt;0)), 0))</f>
        <v>AMC</v>
      </c>
      <c r="J8" s="6" t="s">
        <v>182</v>
      </c>
      <c r="L8" t="str">
        <f t="shared" si="0"/>
        <v>AMC America- East</v>
      </c>
      <c r="M8" t="str">
        <f t="shared" si="1"/>
        <v>AMC America- West</v>
      </c>
    </row>
    <row r="9" spans="1:13" x14ac:dyDescent="0.25">
      <c r="A9" s="2" t="s">
        <v>136</v>
      </c>
      <c r="B9" s="9" t="s">
        <v>147</v>
      </c>
      <c r="C9" s="2" t="s">
        <v>83</v>
      </c>
      <c r="D9" s="2" t="s">
        <v>80</v>
      </c>
      <c r="E9" s="9" t="s">
        <v>143</v>
      </c>
      <c r="F9" t="str">
        <f>IF(E9="yes", A9 &amp; IF(D9="Canada", " Canada", IF(D9="USA", " America", "")), A9)</f>
        <v>AMC Canada</v>
      </c>
      <c r="G9" s="9" t="s">
        <v>147</v>
      </c>
      <c r="H9" t="str" cm="1">
        <f t="array" ref="H9">IFERROR(INDEX($J$1:$J$104,MATCH(TRUE,ISNUMBER(SEARCH(TRIM(A9),TRIM($J$1:$J$104))),0)),"")</f>
        <v/>
      </c>
      <c r="I9" t="str" cm="1">
        <f t="array" ref="I9">INDEX($J$1:$J$104, _xlfn.XMATCH(TRUE, _xlfn.BYROW($J$1:$J$104, _xlfn.LAMBDA(_xlpm.x, COUNTIF(F9,"*"&amp;_xlpm.x&amp;"*")&gt;0)), 0))</f>
        <v>AMC</v>
      </c>
      <c r="J9" s="7" t="s">
        <v>158</v>
      </c>
      <c r="L9" t="str">
        <f t="shared" si="0"/>
        <v>AMC Canada- East</v>
      </c>
      <c r="M9" t="str">
        <f t="shared" si="1"/>
        <v>AMC Canada- West</v>
      </c>
    </row>
    <row r="10" spans="1:13" x14ac:dyDescent="0.25">
      <c r="A10" s="2" t="s">
        <v>74</v>
      </c>
      <c r="B10" s="9" t="s">
        <v>147</v>
      </c>
      <c r="C10" s="2" t="s">
        <v>11</v>
      </c>
      <c r="D10" s="2" t="s">
        <v>0</v>
      </c>
      <c r="E10" s="9" t="s">
        <v>147</v>
      </c>
      <c r="F10" t="str">
        <f>IF(E10="Y", A10 &amp; IF(D10="Canada", " Canada", IF(D10="USA", " America", "")), A10)</f>
        <v>Animal Planet America</v>
      </c>
      <c r="G10" s="13" t="s">
        <v>147</v>
      </c>
      <c r="H10" t="str" cm="1">
        <f t="array" ref="H10">IFERROR(INDEX($J$1:$J$104,MATCH(TRUE,ISNUMBER(SEARCH(TRIM(A10),TRIM($J$1:$J$104))),0)),"")</f>
        <v>Animal Planet US</v>
      </c>
      <c r="I10" cm="1">
        <f t="array" ref="I10">INDEX($J$1:$J$104, _xlfn.XMATCH(TRUE, _xlfn.BYROW($J$1:$J$104, _xlfn.LAMBDA(_xlpm.x, COUNTIF(F10,"*"&amp;_xlpm.x&amp;"*")&gt;0)), 0))</f>
        <v>0</v>
      </c>
      <c r="J10" s="6" t="s">
        <v>67</v>
      </c>
      <c r="L10" t="str">
        <f t="shared" si="0"/>
        <v>Animal Planet America- East</v>
      </c>
      <c r="M10" t="str">
        <f t="shared" si="1"/>
        <v>Animal Planet America- West</v>
      </c>
    </row>
    <row r="11" spans="1:13" x14ac:dyDescent="0.25">
      <c r="A11" s="2" t="s">
        <v>73</v>
      </c>
      <c r="B11" s="9" t="s">
        <v>147</v>
      </c>
      <c r="C11" s="2" t="s">
        <v>73</v>
      </c>
      <c r="D11" s="2" t="s">
        <v>0</v>
      </c>
      <c r="E11" s="9" t="s">
        <v>147</v>
      </c>
      <c r="F11" t="str">
        <f>IF(E11="Y", A11 &amp; IF(D11="Canada", " Canada", IF(D11="USA", " America", "")), A11)</f>
        <v>BBC America</v>
      </c>
      <c r="G11" s="9" t="s">
        <v>147</v>
      </c>
      <c r="H11" t="str" cm="1">
        <f t="array" ref="H11">IFERROR(INDEX($J$1:$J$104,MATCH(TRUE,ISNUMBER(SEARCH(TRIM(A11),TRIM($J$1:$J$104))),0)),"")</f>
        <v>BBC America</v>
      </c>
      <c r="I11" t="str" cm="1">
        <f t="array" ref="I11">INDEX($J$1:$J$104, _xlfn.XMATCH(TRUE, _xlfn.BYROW($J$1:$J$104, _xlfn.LAMBDA(_xlpm.x, COUNTIF(F11,"*"&amp;_xlpm.x&amp;"*")&gt;0)), 0))</f>
        <v>BBC America</v>
      </c>
      <c r="J11" s="7" t="s">
        <v>183</v>
      </c>
      <c r="L11" t="str">
        <f t="shared" si="0"/>
        <v>BBC America- East</v>
      </c>
      <c r="M11" t="str">
        <f t="shared" si="1"/>
        <v>BBC America- West</v>
      </c>
    </row>
    <row r="12" spans="1:13" x14ac:dyDescent="0.25">
      <c r="A12" s="2" t="s">
        <v>135</v>
      </c>
      <c r="B12" s="9" t="s">
        <v>147</v>
      </c>
      <c r="C12" s="2" t="s">
        <v>83</v>
      </c>
      <c r="D12" s="2" t="s">
        <v>80</v>
      </c>
      <c r="E12" s="9" t="s">
        <v>143</v>
      </c>
      <c r="F12" t="str">
        <f>IF(E12="yes", A12 &amp; IF(D12="Canada", " Canada", IF(D12="USA", " America", "")), A12)</f>
        <v>BBC Canada</v>
      </c>
      <c r="G12" s="9" t="s">
        <v>147</v>
      </c>
      <c r="H12" t="str" cm="1">
        <f t="array" ref="H12">IFERROR(INDEX($J$1:$J$104,MATCH(TRUE,ISNUMBER(SEARCH(TRIM(A12),TRIM($J$1:$J$104))),0)),"")</f>
        <v/>
      </c>
      <c r="I12" cm="1">
        <f t="array" ref="I12">INDEX($J$1:$J$104, _xlfn.XMATCH(TRUE, _xlfn.BYROW($J$1:$J$104, _xlfn.LAMBDA(_xlpm.x, COUNTIF(F12,"*"&amp;_xlpm.x&amp;"*")&gt;0)), 0))</f>
        <v>0</v>
      </c>
      <c r="J12" s="6" t="s">
        <v>184</v>
      </c>
      <c r="L12" t="str">
        <f t="shared" si="0"/>
        <v>BBC Canada- East</v>
      </c>
      <c r="M12" t="str">
        <f t="shared" si="1"/>
        <v>BBC Canada- West</v>
      </c>
    </row>
    <row r="13" spans="1:13" x14ac:dyDescent="0.25">
      <c r="A13" s="2" t="s">
        <v>72</v>
      </c>
      <c r="B13" s="9" t="s">
        <v>143</v>
      </c>
      <c r="C13" s="2" t="s">
        <v>3</v>
      </c>
      <c r="D13" s="2" t="s">
        <v>0</v>
      </c>
      <c r="E13" s="9" t="s">
        <v>147</v>
      </c>
      <c r="F13" t="str">
        <f>IF(E13="Y", A13 &amp; IF(D13="Canada", " Canada", IF(D13="USA", " America", "")), A13)</f>
        <v>BET America</v>
      </c>
      <c r="G13" s="13" t="s">
        <v>147</v>
      </c>
      <c r="H13" t="str" cm="1">
        <f t="array" ref="H13">IFERROR(INDEX($J$1:$J$104,MATCH(TRUE,ISNUMBER(SEARCH(TRIM(A13),TRIM($J$1:$J$104))),0)),"")</f>
        <v>BET</v>
      </c>
      <c r="I13" t="str" cm="1">
        <f t="array" ref="I13">INDEX($J$1:$J$104, _xlfn.XMATCH(TRUE, _xlfn.BYROW($J$1:$J$104, _xlfn.LAMBDA(_xlpm.x, COUNTIF(F13,"*"&amp;_xlpm.x&amp;"*")&gt;0)), 0))</f>
        <v>BET</v>
      </c>
      <c r="J13" s="7" t="s">
        <v>185</v>
      </c>
      <c r="L13" t="str">
        <f t="shared" si="0"/>
        <v>BET America- East</v>
      </c>
      <c r="M13" t="str">
        <f t="shared" si="1"/>
        <v>BET America- West</v>
      </c>
    </row>
    <row r="14" spans="1:13" hidden="1" x14ac:dyDescent="0.25">
      <c r="A14" s="2" t="s">
        <v>71</v>
      </c>
      <c r="B14" s="9" t="s">
        <v>143</v>
      </c>
      <c r="C14" s="2" t="s">
        <v>9</v>
      </c>
      <c r="D14" s="2" t="s">
        <v>0</v>
      </c>
      <c r="E14" s="9" t="s">
        <v>143</v>
      </c>
      <c r="F14" t="str">
        <f>IF(E14="Y", A14 &amp; IF(D14="Canada", " Canada", IF(D14="USA", " America", "")), A14)</f>
        <v>Big Ten Network</v>
      </c>
      <c r="H14" t="str" cm="1">
        <f t="array" ref="H14">IFERROR(INDEX($J$1:$J$104,MATCH(TRUE,ISNUMBER(SEARCH(TRIM(A14),TRIM($J$1:$J$104))),0)),"")</f>
        <v/>
      </c>
      <c r="I14" cm="1">
        <f t="array" ref="I14">INDEX($J$1:$J$104, _xlfn.XMATCH(TRUE, _xlfn.BYROW($J$1:$J$104, _xlfn.LAMBDA(_xlpm.x, COUNTIF(F14,"*"&amp;_xlpm.x&amp;"*")&gt;0)), 0))</f>
        <v>0</v>
      </c>
      <c r="J14" s="6" t="s">
        <v>150</v>
      </c>
      <c r="L14" t="str">
        <f t="shared" si="0"/>
        <v/>
      </c>
      <c r="M14" t="str">
        <f t="shared" si="1"/>
        <v/>
      </c>
    </row>
    <row r="15" spans="1:13" x14ac:dyDescent="0.25">
      <c r="A15" s="2" t="s">
        <v>70</v>
      </c>
      <c r="B15" s="9" t="s">
        <v>147</v>
      </c>
      <c r="C15" s="2" t="s">
        <v>5</v>
      </c>
      <c r="D15" s="2" t="s">
        <v>0</v>
      </c>
      <c r="E15" s="9" t="s">
        <v>147</v>
      </c>
      <c r="F15" t="str">
        <f>IF(E15="Y", A15 &amp; IF(D15="Canada", " Canada", IF(D15="USA", " America", "")), A15)</f>
        <v>Bravo America</v>
      </c>
      <c r="G15" s="9" t="s">
        <v>147</v>
      </c>
      <c r="H15" t="str" cm="1">
        <f t="array" ref="H15">IFERROR(INDEX($J$1:$J$104,MATCH(TRUE,ISNUMBER(SEARCH(TRIM(A15),TRIM($J$1:$J$104))),0)),"")</f>
        <v>Bravo USA</v>
      </c>
      <c r="I15" cm="1">
        <f t="array" ref="I15">INDEX($J$1:$J$104, _xlfn.XMATCH(TRUE, _xlfn.BYROW($J$1:$J$104, _xlfn.LAMBDA(_xlpm.x, COUNTIF(F15,"*"&amp;_xlpm.x&amp;"*")&gt;0)), 0))</f>
        <v>0</v>
      </c>
      <c r="J15" s="7" t="s">
        <v>159</v>
      </c>
      <c r="L15" t="str">
        <f t="shared" si="0"/>
        <v>Bravo America- East</v>
      </c>
      <c r="M15" t="str">
        <f t="shared" si="1"/>
        <v>Bravo America- West</v>
      </c>
    </row>
    <row r="16" spans="1:13" x14ac:dyDescent="0.25">
      <c r="A16" s="2" t="s">
        <v>70</v>
      </c>
      <c r="B16" s="9" t="s">
        <v>147</v>
      </c>
      <c r="C16" s="2" t="s">
        <v>93</v>
      </c>
      <c r="D16" s="2" t="s">
        <v>80</v>
      </c>
      <c r="E16" s="9" t="s">
        <v>147</v>
      </c>
      <c r="F16" t="str">
        <f>IF(E16="Y", A16 &amp; IF(D16="Canada", " Canada", IF(D16="USA", " America", "")), A16)</f>
        <v>Bravo Canada</v>
      </c>
      <c r="G16" s="9" t="s">
        <v>147</v>
      </c>
      <c r="H16" t="str" cm="1">
        <f t="array" ref="H16">IFERROR(INDEX($J$1:$J$104,MATCH(TRUE,ISNUMBER(SEARCH(TRIM(A16),TRIM($J$1:$J$104))),0)),"")</f>
        <v>Bravo USA</v>
      </c>
      <c r="I16" cm="1">
        <f t="array" ref="I16">INDEX($J$1:$J$104, _xlfn.XMATCH(TRUE, _xlfn.BYROW($J$1:$J$104, _xlfn.LAMBDA(_xlpm.x, COUNTIF(F16,"*"&amp;_xlpm.x&amp;"*")&gt;0)), 0))</f>
        <v>0</v>
      </c>
      <c r="J16" s="6" t="s">
        <v>160</v>
      </c>
      <c r="L16" t="str">
        <f t="shared" si="0"/>
        <v>Bravo Canada- East</v>
      </c>
      <c r="M16" t="str">
        <f t="shared" si="1"/>
        <v>Bravo Canada- West</v>
      </c>
    </row>
    <row r="17" spans="1:13" x14ac:dyDescent="0.25">
      <c r="A17" s="2" t="s">
        <v>69</v>
      </c>
      <c r="B17" s="9" t="s">
        <v>147</v>
      </c>
      <c r="C17" s="2" t="s">
        <v>11</v>
      </c>
      <c r="D17" s="2" t="s">
        <v>0</v>
      </c>
      <c r="E17" s="9" t="s">
        <v>147</v>
      </c>
      <c r="F17" t="str">
        <f>IF(E17="Y", A17 &amp; IF(D17="Canada", " Canada", IF(D17="USA", " America", "")), A17)</f>
        <v>Cartoon Network America</v>
      </c>
      <c r="G17" s="9" t="s">
        <v>147</v>
      </c>
      <c r="H17" t="str" cm="1">
        <f t="array" ref="H17">IFERROR(INDEX($J$1:$J$104,MATCH(TRUE,ISNUMBER(SEARCH(TRIM(A17),TRIM($J$1:$J$104))),0)),"")</f>
        <v>Cartoon Network Canada</v>
      </c>
      <c r="I17" cm="1">
        <f t="array" ref="I17">INDEX($J$1:$J$104, _xlfn.XMATCH(TRUE, _xlfn.BYROW($J$1:$J$104, _xlfn.LAMBDA(_xlpm.x, COUNTIF(F17,"*"&amp;_xlpm.x&amp;"*")&gt;0)), 0))</f>
        <v>0</v>
      </c>
      <c r="J17" s="7" t="s">
        <v>186</v>
      </c>
      <c r="L17" t="str">
        <f t="shared" si="0"/>
        <v>Cartoon Network America- East</v>
      </c>
      <c r="M17" t="str">
        <f t="shared" si="1"/>
        <v>Cartoon Network America- West</v>
      </c>
    </row>
    <row r="18" spans="1:13" x14ac:dyDescent="0.25">
      <c r="A18" s="2" t="s">
        <v>69</v>
      </c>
      <c r="B18" s="9" t="s">
        <v>147</v>
      </c>
      <c r="C18" s="2" t="s">
        <v>83</v>
      </c>
      <c r="D18" s="2" t="s">
        <v>80</v>
      </c>
      <c r="E18" s="9" t="s">
        <v>147</v>
      </c>
      <c r="F18" t="str">
        <f>IF(E18="Y", A18 &amp; IF(D18="Canada", " Canada", IF(D18="USA", " America", "")), A18)</f>
        <v>Cartoon Network Canada</v>
      </c>
      <c r="G18" s="9" t="s">
        <v>147</v>
      </c>
      <c r="H18" t="str" cm="1">
        <f t="array" ref="H18">IFERROR(INDEX($J$1:$J$104,MATCH(TRUE,ISNUMBER(SEARCH(TRIM(A18),TRIM($J$1:$J$104))),0)),"")</f>
        <v>Cartoon Network Canada</v>
      </c>
      <c r="I18" t="str" cm="1">
        <f t="array" ref="I18">INDEX($J$1:$J$104, _xlfn.XMATCH(TRUE, _xlfn.BYROW($J$1:$J$104, _xlfn.LAMBDA(_xlpm.x, COUNTIF(F18,"*"&amp;_xlpm.x&amp;"*")&gt;0)), 0))</f>
        <v>Cartoon Network Canada</v>
      </c>
      <c r="J18" s="7" t="s">
        <v>187</v>
      </c>
      <c r="L18" t="str">
        <f t="shared" si="0"/>
        <v>Cartoon Network Canada- East</v>
      </c>
      <c r="M18" t="str">
        <f t="shared" si="1"/>
        <v>Cartoon Network Canada- West</v>
      </c>
    </row>
    <row r="19" spans="1:13" hidden="1" x14ac:dyDescent="0.25">
      <c r="A19" s="2" t="s">
        <v>134</v>
      </c>
      <c r="B19" s="9" t="s">
        <v>143</v>
      </c>
      <c r="C19" s="2" t="s">
        <v>81</v>
      </c>
      <c r="D19" s="2" t="s">
        <v>80</v>
      </c>
      <c r="F19" t="str">
        <f>IF(E19="Y", A19 &amp; IF(D19="Canada", " Canada", IF(D19="USA", " America", "")), A19)</f>
        <v>CASA</v>
      </c>
      <c r="H19" t="str" cm="1">
        <f t="array" ref="H19">IFERROR(INDEX($J$1:$J$104,MATCH(TRUE,ISNUMBER(SEARCH(TRIM(A19),TRIM($J$1:$J$104))),0)),"")</f>
        <v/>
      </c>
      <c r="I19" cm="1">
        <f t="array" ref="I19">INDEX($J$1:$J$104, _xlfn.XMATCH(TRUE, _xlfn.BYROW($J$1:$J$104, _xlfn.LAMBDA(_xlpm.x, COUNTIF(F19,"*"&amp;_xlpm.x&amp;"*")&gt;0)), 0))</f>
        <v>0</v>
      </c>
      <c r="J19" s="7" t="s">
        <v>188</v>
      </c>
      <c r="L19" t="str">
        <f t="shared" si="0"/>
        <v/>
      </c>
      <c r="M19" t="str">
        <f t="shared" si="1"/>
        <v/>
      </c>
    </row>
    <row r="20" spans="1:13" hidden="1" x14ac:dyDescent="0.25">
      <c r="A20" s="2" t="s">
        <v>133</v>
      </c>
      <c r="B20" s="9" t="s">
        <v>147</v>
      </c>
      <c r="C20" s="2" t="s">
        <v>111</v>
      </c>
      <c r="D20" s="2" t="s">
        <v>80</v>
      </c>
      <c r="E20" s="9" t="s">
        <v>143</v>
      </c>
      <c r="F20" t="str">
        <f>IF(E20="Y", A20 &amp; IF(D20="Canada", " Canada", IF(D20="USA", " America", "")), A20)</f>
        <v>CBC (loal stations)</v>
      </c>
      <c r="H20" t="str" cm="1">
        <f t="array" ref="H20">IFERROR(INDEX($J$1:$J$104,MATCH(TRUE,ISNUMBER(SEARCH(TRIM(A20),TRIM($J$1:$J$104))),0)),"")</f>
        <v/>
      </c>
      <c r="I20" cm="1">
        <f t="array" ref="I20">INDEX($J$1:$J$104, _xlfn.XMATCH(TRUE, _xlfn.BYROW($J$1:$J$104, _xlfn.LAMBDA(_xlpm.x, COUNTIF(F20,"*"&amp;_xlpm.x&amp;"*")&gt;0)), 0))</f>
        <v>0</v>
      </c>
      <c r="J20" s="7" t="s">
        <v>127</v>
      </c>
      <c r="L20" t="str">
        <f t="shared" si="0"/>
        <v/>
      </c>
      <c r="M20" t="str">
        <f t="shared" si="1"/>
        <v/>
      </c>
    </row>
    <row r="21" spans="1:13" hidden="1" x14ac:dyDescent="0.25">
      <c r="A21" s="2" t="s">
        <v>132</v>
      </c>
      <c r="B21" s="9" t="s">
        <v>147</v>
      </c>
      <c r="C21" s="2" t="s">
        <v>111</v>
      </c>
      <c r="D21" s="2" t="s">
        <v>80</v>
      </c>
      <c r="E21" s="9" t="s">
        <v>143</v>
      </c>
      <c r="F21" t="str">
        <f>IF(E21="Y", A21 &amp; IF(D21="Canada", " Canada", IF(D21="USA", " America", "")), A21)</f>
        <v>CBC News Network</v>
      </c>
      <c r="H21" t="str" cm="1">
        <f t="array" ref="H21">IFERROR(INDEX($J$1:$J$104,MATCH(TRUE,ISNUMBER(SEARCH(TRIM(A21),TRIM($J$1:$J$104))),0)),"")</f>
        <v/>
      </c>
      <c r="I21" cm="1">
        <f t="array" ref="I21">INDEX($J$1:$J$104, _xlfn.XMATCH(TRUE, _xlfn.BYROW($J$1:$J$104, _xlfn.LAMBDA(_xlpm.x, COUNTIF(F21,"*"&amp;_xlpm.x&amp;"*")&gt;0)), 0))</f>
        <v>0</v>
      </c>
      <c r="J21" s="7" t="s">
        <v>161</v>
      </c>
      <c r="L21" t="str">
        <f t="shared" si="0"/>
        <v/>
      </c>
      <c r="M21" t="str">
        <f t="shared" si="1"/>
        <v/>
      </c>
    </row>
    <row r="22" spans="1:13" hidden="1" x14ac:dyDescent="0.25">
      <c r="A22" s="2" t="s">
        <v>131</v>
      </c>
      <c r="B22" s="9" t="s">
        <v>147</v>
      </c>
      <c r="C22" s="2" t="s">
        <v>111</v>
      </c>
      <c r="D22" s="2" t="s">
        <v>80</v>
      </c>
      <c r="E22" s="9" t="s">
        <v>143</v>
      </c>
      <c r="F22" t="str">
        <f>IF(E22="Y", A22 &amp; IF(D22="Canada", " Canada", IF(D22="USA", " America", "")), A22)</f>
        <v>CBC Television (local stations)</v>
      </c>
      <c r="H22" t="str" cm="1">
        <f t="array" ref="H22">IFERROR(INDEX($J$1:$J$104,MATCH(TRUE,ISNUMBER(SEARCH(TRIM(A22),TRIM($J$1:$J$104))),0)),"")</f>
        <v/>
      </c>
      <c r="I22" cm="1">
        <f t="array" ref="I22">INDEX($J$1:$J$104, _xlfn.XMATCH(TRUE, _xlfn.BYROW($J$1:$J$104, _xlfn.LAMBDA(_xlpm.x, COUNTIF(F22,"*"&amp;_xlpm.x&amp;"*")&gt;0)), 0))</f>
        <v>0</v>
      </c>
      <c r="J22" s="6" t="s">
        <v>162</v>
      </c>
      <c r="L22" t="str">
        <f t="shared" si="0"/>
        <v/>
      </c>
      <c r="M22" t="str">
        <f t="shared" si="1"/>
        <v/>
      </c>
    </row>
    <row r="23" spans="1:13" hidden="1" x14ac:dyDescent="0.25">
      <c r="A23" s="2" t="s">
        <v>68</v>
      </c>
      <c r="B23" s="9" t="s">
        <v>147</v>
      </c>
      <c r="C23" s="2" t="s">
        <v>3</v>
      </c>
      <c r="D23" s="2" t="s">
        <v>0</v>
      </c>
      <c r="E23" s="9" t="s">
        <v>143</v>
      </c>
      <c r="F23" t="str">
        <f>IF(E23="Y", A23 &amp; IF(D23="Canada", " Canada", IF(D23="USA", " America", "")), A23)</f>
        <v>CBS (local affiliates)</v>
      </c>
      <c r="H23" t="str" cm="1">
        <f t="array" ref="H23">IFERROR(INDEX($J$1:$J$104,MATCH(TRUE,ISNUMBER(SEARCH(TRIM(A23),TRIM($J$1:$J$104))),0)),"")</f>
        <v/>
      </c>
      <c r="I23" cm="1">
        <f t="array" ref="I23">INDEX($J$1:$J$104, _xlfn.XMATCH(TRUE, _xlfn.BYROW($J$1:$J$104, _xlfn.LAMBDA(_xlpm.x, COUNTIF(F23,"*"&amp;_xlpm.x&amp;"*")&gt;0)), 0))</f>
        <v>0</v>
      </c>
      <c r="J23" s="7" t="s">
        <v>189</v>
      </c>
      <c r="L23" t="str">
        <f t="shared" si="0"/>
        <v/>
      </c>
      <c r="M23" t="str">
        <f t="shared" si="1"/>
        <v/>
      </c>
    </row>
    <row r="24" spans="1:13" x14ac:dyDescent="0.25">
      <c r="A24" s="2" t="s">
        <v>67</v>
      </c>
      <c r="B24" s="9" t="s">
        <v>147</v>
      </c>
      <c r="C24" s="2" t="s">
        <v>11</v>
      </c>
      <c r="D24" s="2" t="s">
        <v>0</v>
      </c>
      <c r="E24" s="9" t="s">
        <v>147</v>
      </c>
      <c r="F24" t="str">
        <f>IF(E24="Y", A24 &amp; IF(D24="Canada", " Canada", IF(D24="USA", " America", "")), A24)</f>
        <v>Cinemax America</v>
      </c>
      <c r="G24" s="13" t="s">
        <v>147</v>
      </c>
      <c r="H24" t="str" cm="1">
        <f t="array" ref="H24">IFERROR(INDEX($J$1:$J$104,MATCH(TRUE,ISNUMBER(SEARCH(TRIM(A24),TRIM($J$1:$J$104))),0)),"")</f>
        <v>Cinemax</v>
      </c>
      <c r="I24" t="str" cm="1">
        <f t="array" ref="I24">INDEX($J$1:$J$104, _xlfn.XMATCH(TRUE, _xlfn.BYROW($J$1:$J$104, _xlfn.LAMBDA(_xlpm.x, COUNTIF(F24,"*"&amp;_xlpm.x&amp;"*")&gt;0)), 0))</f>
        <v>Cinemax</v>
      </c>
      <c r="J24" s="6" t="s">
        <v>163</v>
      </c>
      <c r="L24" t="str">
        <f t="shared" si="0"/>
        <v>Cinemax America- East</v>
      </c>
      <c r="M24" t="str">
        <f t="shared" si="1"/>
        <v>Cinemax America- West</v>
      </c>
    </row>
    <row r="25" spans="1:13" hidden="1" x14ac:dyDescent="0.25">
      <c r="A25" s="2" t="s">
        <v>130</v>
      </c>
      <c r="B25" s="9" t="s">
        <v>147</v>
      </c>
      <c r="C25" s="2" t="s">
        <v>93</v>
      </c>
      <c r="D25" s="2" t="s">
        <v>80</v>
      </c>
      <c r="E25" s="9" t="s">
        <v>143</v>
      </c>
      <c r="F25" t="str">
        <f>IF(E25="Y", A25 &amp; IF(D25="Canada", " Canada", IF(D25="USA", " America", "")), A25)</f>
        <v>Citytv (local stations)</v>
      </c>
      <c r="H25" t="str" cm="1">
        <f t="array" ref="H25">IFERROR(INDEX($J$1:$J$104,MATCH(TRUE,ISNUMBER(SEARCH(TRIM(A25),TRIM($J$1:$J$104))),0)),"")</f>
        <v/>
      </c>
      <c r="I25" cm="1">
        <f t="array" ref="I25">INDEX($J$1:$J$104, _xlfn.XMATCH(TRUE, _xlfn.BYROW($J$1:$J$104, _xlfn.LAMBDA(_xlpm.x, COUNTIF(F25,"*"&amp;_xlpm.x&amp;"*")&gt;0)), 0))</f>
        <v>0</v>
      </c>
      <c r="J25" s="7" t="s">
        <v>164</v>
      </c>
      <c r="L25" t="str">
        <f t="shared" si="0"/>
        <v/>
      </c>
      <c r="M25" t="str">
        <f t="shared" si="1"/>
        <v/>
      </c>
    </row>
    <row r="26" spans="1:13" x14ac:dyDescent="0.25">
      <c r="A26" s="2" t="s">
        <v>66</v>
      </c>
      <c r="B26" s="9" t="s">
        <v>147</v>
      </c>
      <c r="C26" s="2" t="s">
        <v>3</v>
      </c>
      <c r="D26" s="2" t="s">
        <v>0</v>
      </c>
      <c r="E26" s="9" t="s">
        <v>147</v>
      </c>
      <c r="F26" t="str">
        <f>IF(E26="Y", A26 &amp; IF(D26="Canada", " Canada", IF(D26="USA", " America", "")), A26)</f>
        <v>CMT America</v>
      </c>
      <c r="G26" s="13" t="s">
        <v>147</v>
      </c>
      <c r="H26" t="str" cm="1">
        <f t="array" ref="H26">IFERROR(INDEX($J$1:$J$104,MATCH(TRUE,ISNUMBER(SEARCH(TRIM(A26),TRIM($J$1:$J$104))),0)),"")</f>
        <v>CMT US</v>
      </c>
      <c r="I26" cm="1">
        <f t="array" ref="I26">INDEX($J$1:$J$104, _xlfn.XMATCH(TRUE, _xlfn.BYROW($J$1:$J$104, _xlfn.LAMBDA(_xlpm.x, COUNTIF(F26,"*"&amp;_xlpm.x&amp;"*")&gt;0)), 0))</f>
        <v>0</v>
      </c>
      <c r="J26" s="6" t="s">
        <v>190</v>
      </c>
      <c r="L26" t="str">
        <f t="shared" si="0"/>
        <v>CMT America- East</v>
      </c>
      <c r="M26" t="str">
        <f t="shared" si="1"/>
        <v>CMT America- West</v>
      </c>
    </row>
    <row r="27" spans="1:13" hidden="1" x14ac:dyDescent="0.25">
      <c r="A27" s="2" t="s">
        <v>65</v>
      </c>
      <c r="B27" s="9" t="s">
        <v>147</v>
      </c>
      <c r="C27" s="2" t="s">
        <v>5</v>
      </c>
      <c r="D27" s="2" t="s">
        <v>0</v>
      </c>
      <c r="E27" s="9" t="s">
        <v>147</v>
      </c>
      <c r="F27" t="str">
        <f>IF(E27="Y", A27 &amp; IF(D27="Canada", " Canada", IF(D27="USA", " America", "")), A27)</f>
        <v>CNBC America</v>
      </c>
      <c r="H27" t="str" cm="1">
        <f t="array" ref="H27">IFERROR(INDEX($J$1:$J$104,MATCH(TRUE,ISNUMBER(SEARCH(TRIM(A27),TRIM($J$1:$J$104))),0)),"")</f>
        <v/>
      </c>
      <c r="I27" cm="1">
        <f t="array" ref="I27">INDEX($J$1:$J$104, _xlfn.XMATCH(TRUE, _xlfn.BYROW($J$1:$J$104, _xlfn.LAMBDA(_xlpm.x, COUNTIF(F27,"*"&amp;_xlpm.x&amp;"*")&gt;0)), 0))</f>
        <v>0</v>
      </c>
      <c r="J27" s="7" t="s">
        <v>165</v>
      </c>
      <c r="L27" t="str">
        <f t="shared" si="0"/>
        <v/>
      </c>
      <c r="M27" t="str">
        <f t="shared" si="1"/>
        <v/>
      </c>
    </row>
    <row r="28" spans="1:13" hidden="1" x14ac:dyDescent="0.25">
      <c r="A28" s="2" t="s">
        <v>64</v>
      </c>
      <c r="B28" s="9" t="s">
        <v>147</v>
      </c>
      <c r="C28" s="2" t="s">
        <v>11</v>
      </c>
      <c r="D28" s="2" t="s">
        <v>0</v>
      </c>
      <c r="E28" s="9" t="s">
        <v>147</v>
      </c>
      <c r="F28" t="str">
        <f>IF(E28="Y", A28 &amp; IF(D28="Canada", " Canada", IF(D28="USA", " America", "")), A28)</f>
        <v>CNN America</v>
      </c>
      <c r="H28" t="str" cm="1">
        <f t="array" ref="H28">IFERROR(INDEX($J$1:$J$104,MATCH(TRUE,ISNUMBER(SEARCH(TRIM(A28),TRIM($J$1:$J$104))),0)),"")</f>
        <v/>
      </c>
      <c r="I28" cm="1">
        <f t="array" ref="I28">INDEX($J$1:$J$104, _xlfn.XMATCH(TRUE, _xlfn.BYROW($J$1:$J$104, _xlfn.LAMBDA(_xlpm.x, COUNTIF(F28,"*"&amp;_xlpm.x&amp;"*")&gt;0)), 0))</f>
        <v>0</v>
      </c>
      <c r="J28" s="6" t="s">
        <v>191</v>
      </c>
      <c r="L28" t="str">
        <f t="shared" si="0"/>
        <v/>
      </c>
      <c r="M28" t="str">
        <f t="shared" si="1"/>
        <v/>
      </c>
    </row>
    <row r="29" spans="1:13" x14ac:dyDescent="0.25">
      <c r="A29" s="2" t="s">
        <v>63</v>
      </c>
      <c r="B29" s="9" t="s">
        <v>147</v>
      </c>
      <c r="C29" s="2" t="s">
        <v>3</v>
      </c>
      <c r="D29" s="2" t="s">
        <v>0</v>
      </c>
      <c r="E29" s="9" t="s">
        <v>147</v>
      </c>
      <c r="F29" t="str">
        <f>IF(E29="Y", A29 &amp; IF(D29="Canada", " Canada", IF(D29="USA", " America", "")), A29)</f>
        <v>Comedy Central America</v>
      </c>
      <c r="G29" s="13" t="s">
        <v>147</v>
      </c>
      <c r="H29" t="str" cm="1">
        <f t="array" ref="H29">IFERROR(INDEX($J$1:$J$104,MATCH(TRUE,ISNUMBER(SEARCH(TRIM(A29),TRIM($J$1:$J$104))),0)),"")</f>
        <v>Comedy Central (US)</v>
      </c>
      <c r="I29" cm="1">
        <f t="array" ref="I29">INDEX($J$1:$J$104, _xlfn.XMATCH(TRUE, _xlfn.BYROW($J$1:$J$104, _xlfn.LAMBDA(_xlpm.x, COUNTIF(F29,"*"&amp;_xlpm.x&amp;"*")&gt;0)), 0))</f>
        <v>0</v>
      </c>
      <c r="J29" s="7" t="s">
        <v>166</v>
      </c>
      <c r="L29" t="str">
        <f t="shared" si="0"/>
        <v>Comedy Central America- East</v>
      </c>
      <c r="M29" t="str">
        <f t="shared" si="1"/>
        <v>Comedy Central America- West</v>
      </c>
    </row>
    <row r="30" spans="1:13" x14ac:dyDescent="0.25">
      <c r="A30" s="2" t="s">
        <v>129</v>
      </c>
      <c r="B30" s="9" t="s">
        <v>147</v>
      </c>
      <c r="C30" s="2" t="s">
        <v>83</v>
      </c>
      <c r="D30" s="2" t="s">
        <v>80</v>
      </c>
      <c r="E30" s="9" t="s">
        <v>143</v>
      </c>
      <c r="F30" t="str">
        <f>IF(E30="yes", A30 &amp; IF(D30="Canada", " Canada", IF(D30="USA", " America", "")), A30)</f>
        <v>Comedy Central Canada</v>
      </c>
      <c r="G30" s="13" t="s">
        <v>147</v>
      </c>
      <c r="H30" t="str" cm="1">
        <f t="array" ref="H30">IFERROR(INDEX($J$1:$J$104,MATCH(TRUE,ISNUMBER(SEARCH(TRIM(A30),TRIM($J$1:$J$104))),0)),"")</f>
        <v/>
      </c>
      <c r="I30" cm="1">
        <f t="array" ref="I30">INDEX($J$1:$J$104, _xlfn.XMATCH(TRUE, _xlfn.BYROW($J$1:$J$104, _xlfn.LAMBDA(_xlpm.x, COUNTIF(F30,"*"&amp;_xlpm.x&amp;"*")&gt;0)), 0))</f>
        <v>0</v>
      </c>
      <c r="J30" s="6" t="s">
        <v>151</v>
      </c>
      <c r="L30" t="str">
        <f t="shared" si="0"/>
        <v>Comedy Central Canada- East</v>
      </c>
      <c r="M30" t="str">
        <f t="shared" si="1"/>
        <v>Comedy Central Canada- West</v>
      </c>
    </row>
    <row r="31" spans="1:13" hidden="1" x14ac:dyDescent="0.25">
      <c r="A31" s="2"/>
      <c r="B31" s="9"/>
      <c r="C31" s="2"/>
      <c r="D31" s="2"/>
      <c r="E31" s="9"/>
      <c r="H31" t="str" cm="1">
        <f t="array" ref="H31">IFERROR(INDEX($J$1:$J$104,MATCH(TRUE,ISNUMBER(SEARCH(TRIM(A31),TRIM($J$1:$J$104))),0)),"")</f>
        <v>A&amp;E US</v>
      </c>
      <c r="J31" s="7" t="s">
        <v>192</v>
      </c>
      <c r="L31" t="str">
        <f t="shared" si="0"/>
        <v/>
      </c>
      <c r="M31" t="str">
        <f t="shared" si="1"/>
        <v/>
      </c>
    </row>
    <row r="32" spans="1:13" hidden="1" x14ac:dyDescent="0.25">
      <c r="A32" s="2" t="s">
        <v>128</v>
      </c>
      <c r="B32" s="9" t="s">
        <v>147</v>
      </c>
      <c r="C32" s="2" t="s">
        <v>86</v>
      </c>
      <c r="D32" s="2" t="s">
        <v>80</v>
      </c>
      <c r="E32" s="9" t="s">
        <v>143</v>
      </c>
      <c r="F32" t="str">
        <f>IF(E32="Y", A32 &amp; IF(D32="Canada", " Canada", IF(D32="USA", " America", "")), A32)</f>
        <v>CTV (local stations)</v>
      </c>
      <c r="H32" t="str" cm="1">
        <f t="array" ref="H32">IFERROR(INDEX($J$1:$J$104,MATCH(TRUE,ISNUMBER(SEARCH(TRIM(A32),TRIM($J$1:$J$104))),0)),"")</f>
        <v/>
      </c>
      <c r="I32" cm="1">
        <f t="array" ref="I32">INDEX($J$1:$J$104, _xlfn.XMATCH(TRUE, _xlfn.BYROW($J$1:$J$104, _xlfn.LAMBDA(_xlpm.x, COUNTIF(F32,"*"&amp;_xlpm.x&amp;"*")&gt;0)), 0))</f>
        <v>0</v>
      </c>
      <c r="J32" s="6" t="s">
        <v>193</v>
      </c>
      <c r="L32" t="str">
        <f t="shared" si="0"/>
        <v/>
      </c>
      <c r="M32" t="str">
        <f t="shared" si="1"/>
        <v/>
      </c>
    </row>
    <row r="33" spans="1:13" hidden="1" x14ac:dyDescent="0.25">
      <c r="A33" s="2" t="s">
        <v>243</v>
      </c>
      <c r="B33" s="9" t="s">
        <v>147</v>
      </c>
      <c r="C33" s="2" t="s">
        <v>86</v>
      </c>
      <c r="D33" s="2" t="s">
        <v>80</v>
      </c>
      <c r="E33" s="9" t="s">
        <v>143</v>
      </c>
      <c r="F33" t="str">
        <f>IF(E33="Y", A33 &amp; IF(D33="Canada", " Canada", IF(D33="USA", " America", "")), A33)</f>
        <v>CTV 2 (local stations)</v>
      </c>
      <c r="H33" t="str" cm="1">
        <f t="array" ref="H33">IFERROR(INDEX($J$1:$J$104,MATCH(TRUE,ISNUMBER(SEARCH(TRIM(A33),TRIM($J$1:$J$104))),0)),"")</f>
        <v/>
      </c>
      <c r="I33" cm="1">
        <f t="array" ref="I33">INDEX($J$1:$J$104, _xlfn.XMATCH(TRUE, _xlfn.BYROW($J$1:$J$104, _xlfn.LAMBDA(_xlpm.x, COUNTIF(F33,"*"&amp;_xlpm.x&amp;"*")&gt;0)), 0))</f>
        <v>0</v>
      </c>
      <c r="J33" s="7" t="s">
        <v>194</v>
      </c>
      <c r="L33" t="str">
        <f t="shared" si="0"/>
        <v/>
      </c>
      <c r="M33" t="str">
        <f t="shared" si="1"/>
        <v/>
      </c>
    </row>
    <row r="34" spans="1:13" x14ac:dyDescent="0.25">
      <c r="A34" s="2" t="s">
        <v>127</v>
      </c>
      <c r="B34" s="9" t="s">
        <v>147</v>
      </c>
      <c r="C34" s="2" t="s">
        <v>86</v>
      </c>
      <c r="D34" s="2" t="s">
        <v>80</v>
      </c>
      <c r="E34" s="9" t="s">
        <v>143</v>
      </c>
      <c r="F34" t="str">
        <f>IF(E34="Y", A34 &amp; IF(D34="Canada", " Canada", IF(D34="USA", " America", "")), A34)</f>
        <v>CTV Comedy</v>
      </c>
      <c r="G34" s="13" t="s">
        <v>147</v>
      </c>
      <c r="H34" t="str" cm="1">
        <f t="array" ref="H34">IFERROR(INDEX($J$1:$J$104,MATCH(TRUE,ISNUMBER(SEARCH(TRIM(A34),TRIM($J$1:$J$104))),0)),"")</f>
        <v>CTV Comedy</v>
      </c>
      <c r="I34" t="str" cm="1">
        <f t="array" ref="I34">INDEX($J$1:$J$104, _xlfn.XMATCH(TRUE, _xlfn.BYROW($J$1:$J$104, _xlfn.LAMBDA(_xlpm.x, COUNTIF(F34,"*"&amp;_xlpm.x&amp;"*")&gt;0)), 0))</f>
        <v>CTV Comedy</v>
      </c>
      <c r="J34" s="6" t="s">
        <v>46</v>
      </c>
      <c r="L34" t="str">
        <f t="shared" si="0"/>
        <v>CTV Comedy- East</v>
      </c>
      <c r="M34" t="str">
        <f t="shared" si="1"/>
        <v>CTV Comedy- West</v>
      </c>
    </row>
    <row r="35" spans="1:13" x14ac:dyDescent="0.25">
      <c r="A35" s="2" t="s">
        <v>126</v>
      </c>
      <c r="B35" s="9" t="s">
        <v>147</v>
      </c>
      <c r="C35" s="2" t="s">
        <v>86</v>
      </c>
      <c r="D35" s="2" t="s">
        <v>80</v>
      </c>
      <c r="E35" s="9" t="s">
        <v>143</v>
      </c>
      <c r="F35" t="str">
        <f>IF(E35="Y", A35 &amp; IF(D35="Canada", " Canada", IF(D35="USA", " America", "")), A35)</f>
        <v>CTV Drama</v>
      </c>
      <c r="G35" s="13" t="s">
        <v>147</v>
      </c>
      <c r="H35" t="str" cm="1">
        <f t="array" ref="H35">IFERROR(INDEX($J$1:$J$104,MATCH(TRUE,ISNUMBER(SEARCH(TRIM(A35),TRIM($J$1:$J$104))),0)),"")</f>
        <v/>
      </c>
      <c r="I35" cm="1">
        <f t="array" ref="I35">INDEX($J$1:$J$104, _xlfn.XMATCH(TRUE, _xlfn.BYROW($J$1:$J$104, _xlfn.LAMBDA(_xlpm.x, COUNTIF(F35,"*"&amp;_xlpm.x&amp;"*")&gt;0)), 0))</f>
        <v>0</v>
      </c>
      <c r="J35" s="7" t="s">
        <v>195</v>
      </c>
      <c r="L35" t="str">
        <f t="shared" si="0"/>
        <v>CTV Drama- East</v>
      </c>
      <c r="M35" t="str">
        <f t="shared" si="1"/>
        <v>CTV Drama- West</v>
      </c>
    </row>
    <row r="36" spans="1:13" x14ac:dyDescent="0.25">
      <c r="A36" s="2" t="s">
        <v>125</v>
      </c>
      <c r="B36" s="9" t="s">
        <v>147</v>
      </c>
      <c r="C36" s="2" t="s">
        <v>86</v>
      </c>
      <c r="D36" s="2" t="s">
        <v>80</v>
      </c>
      <c r="E36" s="9" t="s">
        <v>143</v>
      </c>
      <c r="F36" t="str">
        <f>IF(E36="Y", A36 &amp; IF(D36="Canada", " Canada", IF(D36="USA", " America", "")), A36)</f>
        <v>CTV Life</v>
      </c>
      <c r="G36" s="13" t="s">
        <v>147</v>
      </c>
      <c r="H36" t="str" cm="1">
        <f t="array" ref="H36">IFERROR(INDEX($J$1:$J$104,MATCH(TRUE,ISNUMBER(SEARCH(TRIM(A36),TRIM($J$1:$J$104))),0)),"")</f>
        <v/>
      </c>
      <c r="I36" cm="1">
        <f t="array" ref="I36">INDEX($J$1:$J$104, _xlfn.XMATCH(TRUE, _xlfn.BYROW($J$1:$J$104, _xlfn.LAMBDA(_xlpm.x, COUNTIF(F36,"*"&amp;_xlpm.x&amp;"*")&gt;0)), 0))</f>
        <v>0</v>
      </c>
      <c r="J36" s="7" t="s">
        <v>196</v>
      </c>
      <c r="L36" t="str">
        <f t="shared" si="0"/>
        <v>CTV Life- East</v>
      </c>
      <c r="M36" t="str">
        <f t="shared" si="1"/>
        <v>CTV Life- West</v>
      </c>
    </row>
    <row r="37" spans="1:13" x14ac:dyDescent="0.25">
      <c r="A37" s="2" t="s">
        <v>124</v>
      </c>
      <c r="B37" s="9" t="s">
        <v>147</v>
      </c>
      <c r="C37" s="2" t="s">
        <v>86</v>
      </c>
      <c r="D37" s="2" t="s">
        <v>80</v>
      </c>
      <c r="E37" s="9" t="s">
        <v>143</v>
      </c>
      <c r="F37" t="str">
        <f>IF(E37="Y", A37 &amp; IF(D37="Canada", " Canada", IF(D37="USA", " America", "")), A37)</f>
        <v>CTV Sci-Fi</v>
      </c>
      <c r="G37" s="13" t="s">
        <v>147</v>
      </c>
      <c r="H37" t="str" cm="1">
        <f t="array" ref="H37">IFERROR(INDEX($J$1:$J$104,MATCH(TRUE,ISNUMBER(SEARCH(TRIM(A37),TRIM($J$1:$J$104))),0)),"")</f>
        <v/>
      </c>
      <c r="I37" cm="1">
        <f t="array" ref="I37">INDEX($J$1:$J$104, _xlfn.XMATCH(TRUE, _xlfn.BYROW($J$1:$J$104, _xlfn.LAMBDA(_xlpm.x, COUNTIF(F37,"*"&amp;_xlpm.x&amp;"*")&gt;0)), 0))</f>
        <v>0</v>
      </c>
      <c r="J37" s="6" t="s">
        <v>167</v>
      </c>
      <c r="L37" t="str">
        <f t="shared" si="0"/>
        <v>CTV Sci-Fi- East</v>
      </c>
      <c r="M37" t="str">
        <f t="shared" si="1"/>
        <v>CTV Sci-Fi- West</v>
      </c>
    </row>
    <row r="38" spans="1:13" x14ac:dyDescent="0.25">
      <c r="A38" s="7" t="s">
        <v>186</v>
      </c>
      <c r="B38" s="9" t="s">
        <v>147</v>
      </c>
      <c r="C38" s="2" t="s">
        <v>86</v>
      </c>
      <c r="D38" s="2" t="s">
        <v>80</v>
      </c>
      <c r="E38" s="9" t="s">
        <v>143</v>
      </c>
      <c r="F38" t="str">
        <f t="shared" ref="F38:F41" si="2">IF(E38="Y", A38 &amp; IF(D38="Canada", " Canada", IF(D38="USA", " America", "")), A38)</f>
        <v>Crave1</v>
      </c>
      <c r="G38" s="13" t="s">
        <v>147</v>
      </c>
      <c r="H38" t="str" cm="1">
        <f t="array" ref="H38">IFERROR(INDEX($J$1:$J$104,MATCH(TRUE,ISNUMBER(SEARCH(TRIM(A38),TRIM($J$1:$J$104))),0)),"")</f>
        <v>Crave1</v>
      </c>
      <c r="I38" t="str" cm="1">
        <f t="array" ref="I38">INDEX($J$1:$J$104, _xlfn.XMATCH(TRUE, _xlfn.BYROW($J$1:$J$104, _xlfn.LAMBDA(_xlpm.x, COUNTIF(F38,"*"&amp;_xlpm.x&amp;"*")&gt;0)), 0))</f>
        <v>Crave1</v>
      </c>
      <c r="J38" s="6"/>
      <c r="L38" t="str">
        <f t="shared" si="0"/>
        <v>Crave1- East</v>
      </c>
      <c r="M38" t="str">
        <f t="shared" si="1"/>
        <v>Crave1- West</v>
      </c>
    </row>
    <row r="39" spans="1:13" x14ac:dyDescent="0.25">
      <c r="A39" s="7" t="s">
        <v>187</v>
      </c>
      <c r="B39" s="9" t="s">
        <v>147</v>
      </c>
      <c r="C39" s="2" t="s">
        <v>86</v>
      </c>
      <c r="D39" s="2" t="s">
        <v>80</v>
      </c>
      <c r="E39" s="9" t="s">
        <v>143</v>
      </c>
      <c r="F39" t="str">
        <f t="shared" si="2"/>
        <v>Crave2</v>
      </c>
      <c r="G39" s="13" t="s">
        <v>147</v>
      </c>
      <c r="H39" t="str" cm="1">
        <f t="array" ref="H39">IFERROR(INDEX($J$1:$J$104,MATCH(TRUE,ISNUMBER(SEARCH(TRIM(A39),TRIM($J$1:$J$104))),0)),"")</f>
        <v>Crave2</v>
      </c>
      <c r="I39" t="str" cm="1">
        <f t="array" ref="I39">INDEX($J$1:$J$104, _xlfn.XMATCH(TRUE, _xlfn.BYROW($J$1:$J$104, _xlfn.LAMBDA(_xlpm.x, COUNTIF(F39,"*"&amp;_xlpm.x&amp;"*")&gt;0)), 0))</f>
        <v>Crave2</v>
      </c>
      <c r="J39" s="6"/>
      <c r="L39" t="str">
        <f t="shared" si="0"/>
        <v>Crave2- East</v>
      </c>
      <c r="M39" t="str">
        <f t="shared" si="1"/>
        <v>Crave2- West</v>
      </c>
    </row>
    <row r="40" spans="1:13" x14ac:dyDescent="0.25">
      <c r="A40" s="7" t="s">
        <v>188</v>
      </c>
      <c r="B40" s="9" t="s">
        <v>147</v>
      </c>
      <c r="C40" s="2" t="s">
        <v>86</v>
      </c>
      <c r="D40" s="2" t="s">
        <v>80</v>
      </c>
      <c r="E40" s="9" t="s">
        <v>143</v>
      </c>
      <c r="F40" t="str">
        <f t="shared" si="2"/>
        <v>Crave3</v>
      </c>
      <c r="G40" s="13" t="s">
        <v>147</v>
      </c>
      <c r="H40" t="str" cm="1">
        <f t="array" ref="H40">IFERROR(INDEX($J$1:$J$104,MATCH(TRUE,ISNUMBER(SEARCH(TRIM(A40),TRIM($J$1:$J$104))),0)),"")</f>
        <v>Crave3</v>
      </c>
      <c r="I40" t="str" cm="1">
        <f t="array" ref="I40">INDEX($J$1:$J$104, _xlfn.XMATCH(TRUE, _xlfn.BYROW($J$1:$J$104, _xlfn.LAMBDA(_xlpm.x, COUNTIF(F40,"*"&amp;_xlpm.x&amp;"*")&gt;0)), 0))</f>
        <v>Crave3</v>
      </c>
      <c r="J40" s="6"/>
      <c r="L40" t="str">
        <f t="shared" si="0"/>
        <v>Crave3- East</v>
      </c>
      <c r="M40" t="str">
        <f t="shared" si="1"/>
        <v>Crave3- West</v>
      </c>
    </row>
    <row r="41" spans="1:13" x14ac:dyDescent="0.25">
      <c r="A41" s="7" t="s">
        <v>239</v>
      </c>
      <c r="B41" s="9" t="s">
        <v>147</v>
      </c>
      <c r="C41" s="2" t="s">
        <v>86</v>
      </c>
      <c r="D41" s="2" t="s">
        <v>80</v>
      </c>
      <c r="E41" s="9" t="s">
        <v>143</v>
      </c>
      <c r="F41" t="str">
        <f t="shared" si="2"/>
        <v>Crave4</v>
      </c>
      <c r="G41" s="13" t="s">
        <v>147</v>
      </c>
      <c r="H41" t="str" cm="1">
        <f t="array" ref="H41">IFERROR(INDEX($J$1:$J$104,MATCH(TRUE,ISNUMBER(SEARCH(TRIM(A41),TRIM($J$1:$J$104))),0)),"")</f>
        <v/>
      </c>
      <c r="I41" cm="1">
        <f t="array" ref="I41">INDEX($J$1:$J$104, _xlfn.XMATCH(TRUE, _xlfn.BYROW($J$1:$J$104, _xlfn.LAMBDA(_xlpm.x, COUNTIF(F41,"*"&amp;_xlpm.x&amp;"*")&gt;0)), 0))</f>
        <v>0</v>
      </c>
      <c r="J41" s="6"/>
      <c r="L41" t="str">
        <f t="shared" si="0"/>
        <v>Crave4- East</v>
      </c>
      <c r="M41" t="str">
        <f t="shared" si="1"/>
        <v>Crave4- West</v>
      </c>
    </row>
    <row r="42" spans="1:13" hidden="1" x14ac:dyDescent="0.25">
      <c r="A42" s="2" t="s">
        <v>123</v>
      </c>
      <c r="B42" s="9" t="s">
        <v>147</v>
      </c>
      <c r="C42" s="2" t="s">
        <v>83</v>
      </c>
      <c r="D42" s="2" t="s">
        <v>80</v>
      </c>
      <c r="E42" s="9" t="s">
        <v>147</v>
      </c>
      <c r="F42" t="str">
        <f>IF(E42="Y", A42 &amp; IF(D42="Canada", " Canada", IF(D42="USA", " America", "")), A42)</f>
        <v>DejaView Canada</v>
      </c>
      <c r="H42" t="str" cm="1">
        <f t="array" ref="H42">IFERROR(INDEX($J$1:$J$104,MATCH(TRUE,ISNUMBER(SEARCH(TRIM(A42),TRIM($J$1:$J$104))),0)),"")</f>
        <v/>
      </c>
      <c r="I42" cm="1">
        <f t="array" ref="I42">INDEX($J$1:$J$104, _xlfn.XMATCH(TRUE, _xlfn.BYROW($J$1:$J$104, _xlfn.LAMBDA(_xlpm.x, COUNTIF(F42,"*"&amp;_xlpm.x&amp;"*")&gt;0)), 0))</f>
        <v>0</v>
      </c>
      <c r="J42" s="7" t="s">
        <v>168</v>
      </c>
      <c r="L42" t="str">
        <f t="shared" si="0"/>
        <v/>
      </c>
      <c r="M42" t="str">
        <f t="shared" si="1"/>
        <v/>
      </c>
    </row>
    <row r="43" spans="1:13" x14ac:dyDescent="0.25">
      <c r="A43" s="2" t="s">
        <v>145</v>
      </c>
      <c r="B43" s="9" t="s">
        <v>147</v>
      </c>
      <c r="C43" s="2" t="s">
        <v>93</v>
      </c>
      <c r="D43" s="2" t="s">
        <v>80</v>
      </c>
      <c r="E43" s="9" t="s">
        <v>143</v>
      </c>
      <c r="F43" t="str">
        <f>IF(E43="yes", A43 &amp; IF(D43="Canada", " Canada", IF(D43="USA", " America", "")), A43)</f>
        <v>Discovery Canada</v>
      </c>
      <c r="G43" s="13" t="s">
        <v>147</v>
      </c>
      <c r="H43" t="str" cm="1">
        <f t="array" ref="H43">IFERROR(INDEX($J$1:$J$104,MATCH(TRUE,ISNUMBER(SEARCH(TRIM(A43),TRIM($J$1:$J$104))),0)),"")</f>
        <v/>
      </c>
      <c r="I43" cm="1">
        <f t="array" ref="I43">INDEX($J$1:$J$104, _xlfn.XMATCH(TRUE, _xlfn.BYROW($J$1:$J$104, _xlfn.LAMBDA(_xlpm.x, COUNTIF(F43,"*"&amp;_xlpm.x&amp;"*")&gt;0)), 0))</f>
        <v>0</v>
      </c>
      <c r="J43" s="6" t="s">
        <v>197</v>
      </c>
      <c r="L43" t="str">
        <f t="shared" si="0"/>
        <v>Discovery Canada- East</v>
      </c>
      <c r="M43" t="str">
        <f t="shared" si="1"/>
        <v>Discovery Canada- West</v>
      </c>
    </row>
    <row r="44" spans="1:13" x14ac:dyDescent="0.25">
      <c r="A44" s="2" t="s">
        <v>62</v>
      </c>
      <c r="B44" s="9" t="s">
        <v>147</v>
      </c>
      <c r="C44" s="2" t="s">
        <v>11</v>
      </c>
      <c r="D44" s="2" t="s">
        <v>0</v>
      </c>
      <c r="E44" s="9" t="s">
        <v>147</v>
      </c>
      <c r="F44" t="str">
        <f>IF(E44="Y", A44 &amp; IF(D44="Canada", " Canada", IF(D44="USA", " America", "")), A44)</f>
        <v>Discovery Channel America</v>
      </c>
      <c r="G44" s="13" t="s">
        <v>147</v>
      </c>
      <c r="H44" t="str" cm="1">
        <f t="array" ref="H44">IFERROR(INDEX($J$1:$J$104,MATCH(TRUE,ISNUMBER(SEARCH(TRIM(A44),TRIM($J$1:$J$104))),0)),"")</f>
        <v>Discovery Channel (US)</v>
      </c>
      <c r="I44" cm="1">
        <f t="array" ref="I44">INDEX($J$1:$J$104, _xlfn.XMATCH(TRUE, _xlfn.BYROW($J$1:$J$104, _xlfn.LAMBDA(_xlpm.x, COUNTIF(F44,"*"&amp;_xlpm.x&amp;"*")&gt;0)), 0))</f>
        <v>0</v>
      </c>
      <c r="J44" s="7" t="s">
        <v>198</v>
      </c>
      <c r="L44" t="str">
        <f t="shared" si="0"/>
        <v>Discovery Channel America- East</v>
      </c>
      <c r="M44" t="str">
        <f t="shared" si="1"/>
        <v>Discovery Channel America- West</v>
      </c>
    </row>
    <row r="45" spans="1:13" x14ac:dyDescent="0.25">
      <c r="A45" s="2" t="s">
        <v>61</v>
      </c>
      <c r="B45" s="9" t="s">
        <v>147</v>
      </c>
      <c r="C45" s="2" t="s">
        <v>33</v>
      </c>
      <c r="D45" s="2" t="s">
        <v>0</v>
      </c>
      <c r="E45" s="9" t="s">
        <v>147</v>
      </c>
      <c r="F45" t="str">
        <f>IF(E45="Y", A45 &amp; IF(D45="Canada", " Canada", IF(D45="USA", " America", "")), A45)</f>
        <v>Disney Channel America</v>
      </c>
      <c r="G45" s="13" t="s">
        <v>147</v>
      </c>
      <c r="H45" t="str" cm="1">
        <f t="array" ref="H45">IFERROR(INDEX($J$1:$J$104,MATCH(TRUE,ISNUMBER(SEARCH(TRIM(A45),TRIM($J$1:$J$104))),0)),"")</f>
        <v>Disney Channel Canada</v>
      </c>
      <c r="I45" t="str" cm="1">
        <f t="array" ref="I45">INDEX($J$1:$J$104, _xlfn.XMATCH(TRUE, _xlfn.BYROW($J$1:$J$104, _xlfn.LAMBDA(_xlpm.x, COUNTIF(F45,"*"&amp;_xlpm.x&amp;"*")&gt;0)), 0))</f>
        <v>Disney</v>
      </c>
      <c r="J45" s="6" t="s">
        <v>169</v>
      </c>
      <c r="L45" t="str">
        <f t="shared" si="0"/>
        <v>Disney Channel America- East</v>
      </c>
      <c r="M45" t="str">
        <f t="shared" si="1"/>
        <v>Disney Channel America- West</v>
      </c>
    </row>
    <row r="46" spans="1:13" x14ac:dyDescent="0.25">
      <c r="A46" s="2" t="s">
        <v>61</v>
      </c>
      <c r="B46" s="9" t="s">
        <v>147</v>
      </c>
      <c r="C46" s="2" t="s">
        <v>33</v>
      </c>
      <c r="D46" s="2" t="s">
        <v>80</v>
      </c>
      <c r="E46" s="9" t="s">
        <v>147</v>
      </c>
      <c r="F46" t="str">
        <f>IF(E46="Y", A46 &amp; IF(D46="Canada", " Canada", IF(D46="USA", " America", "")), A46)</f>
        <v>Disney Channel Canada</v>
      </c>
      <c r="G46" s="13" t="s">
        <v>147</v>
      </c>
      <c r="H46" t="str" cm="1">
        <f t="array" ref="H46">IFERROR(INDEX($J$1:$J$104,MATCH(TRUE,ISNUMBER(SEARCH(TRIM(A46),TRIM($J$1:$J$104))),0)),"")</f>
        <v>Disney Channel Canada</v>
      </c>
      <c r="I46" t="str" cm="1">
        <f t="array" ref="I46">INDEX($J$1:$J$104, _xlfn.XMATCH(TRUE, _xlfn.BYROW($J$1:$J$104, _xlfn.LAMBDA(_xlpm.x, COUNTIF(F46,"*"&amp;_xlpm.x&amp;"*")&gt;0)), 0))</f>
        <v>Disney</v>
      </c>
      <c r="J46" s="7" t="s">
        <v>152</v>
      </c>
      <c r="L46" t="str">
        <f t="shared" si="0"/>
        <v>Disney Channel Canada- East</v>
      </c>
      <c r="M46" t="str">
        <f t="shared" si="1"/>
        <v>Disney Channel Canada- West</v>
      </c>
    </row>
    <row r="47" spans="1:13" x14ac:dyDescent="0.25">
      <c r="A47" s="2" t="s">
        <v>60</v>
      </c>
      <c r="B47" s="9" t="s">
        <v>147</v>
      </c>
      <c r="C47" s="2" t="s">
        <v>33</v>
      </c>
      <c r="D47" s="2" t="s">
        <v>0</v>
      </c>
      <c r="E47" s="9" t="s">
        <v>147</v>
      </c>
      <c r="F47" t="str">
        <f>IF(E47="Y", A47 &amp; IF(D47="Canada", " Canada", IF(D47="USA", " America", "")), A47)</f>
        <v>Disney Junior America</v>
      </c>
      <c r="G47" s="13" t="s">
        <v>147</v>
      </c>
      <c r="H47" t="str" cm="1">
        <f t="array" ref="H47">IFERROR(INDEX($J$1:$J$104,MATCH(TRUE,ISNUMBER(SEARCH(TRIM(A47),TRIM($J$1:$J$104))),0)),"")</f>
        <v/>
      </c>
      <c r="I47" t="str" cm="1">
        <f t="array" ref="I47">INDEX($J$1:$J$104, _xlfn.XMATCH(TRUE, _xlfn.BYROW($J$1:$J$104, _xlfn.LAMBDA(_xlpm.x, COUNTIF(F47,"*"&amp;_xlpm.x&amp;"*")&gt;0)), 0))</f>
        <v>Disney</v>
      </c>
      <c r="J47" s="7" t="s">
        <v>199</v>
      </c>
      <c r="L47" t="str">
        <f t="shared" si="0"/>
        <v>Disney Junior America- East</v>
      </c>
      <c r="M47" t="str">
        <f t="shared" si="1"/>
        <v>Disney Junior America- West</v>
      </c>
    </row>
    <row r="48" spans="1:13" x14ac:dyDescent="0.25">
      <c r="A48" s="2" t="s">
        <v>60</v>
      </c>
      <c r="B48" s="9" t="s">
        <v>147</v>
      </c>
      <c r="C48" s="2" t="s">
        <v>33</v>
      </c>
      <c r="D48" s="2" t="s">
        <v>80</v>
      </c>
      <c r="E48" s="9" t="s">
        <v>147</v>
      </c>
      <c r="F48" t="str">
        <f>IF(E48="Y", A48 &amp; IF(D48="Canada", " Canada", IF(D48="USA", " America", "")), A48)</f>
        <v>Disney Junior Canada</v>
      </c>
      <c r="G48" s="13" t="s">
        <v>147</v>
      </c>
      <c r="H48" t="str" cm="1">
        <f t="array" ref="H48">IFERROR(INDEX($J$1:$J$104,MATCH(TRUE,ISNUMBER(SEARCH(TRIM(A48),TRIM($J$1:$J$104))),0)),"")</f>
        <v/>
      </c>
      <c r="I48" t="str" cm="1">
        <f t="array" ref="I48">INDEX($J$1:$J$104, _xlfn.XMATCH(TRUE, _xlfn.BYROW($J$1:$J$104, _xlfn.LAMBDA(_xlpm.x, COUNTIF(F48,"*"&amp;_xlpm.x&amp;"*")&gt;0)), 0))</f>
        <v>Disney</v>
      </c>
      <c r="J48" s="6" t="s">
        <v>170</v>
      </c>
      <c r="L48" t="str">
        <f t="shared" si="0"/>
        <v>Disney Junior Canada- East</v>
      </c>
      <c r="M48" t="str">
        <f t="shared" si="1"/>
        <v>Disney Junior Canada- West</v>
      </c>
    </row>
    <row r="49" spans="1:13" x14ac:dyDescent="0.25">
      <c r="A49" s="2" t="s">
        <v>59</v>
      </c>
      <c r="B49" s="9" t="s">
        <v>147</v>
      </c>
      <c r="C49" s="2" t="s">
        <v>33</v>
      </c>
      <c r="D49" s="2" t="s">
        <v>0</v>
      </c>
      <c r="E49" s="9" t="s">
        <v>147</v>
      </c>
      <c r="F49" t="str">
        <f>IF(E49="Y", A49 &amp; IF(D49="Canada", " Canada", IF(D49="USA", " America", "")), A49)</f>
        <v>Disney XD America</v>
      </c>
      <c r="G49" s="13" t="s">
        <v>147</v>
      </c>
      <c r="H49" t="str" cm="1">
        <f t="array" ref="H49">IFERROR(INDEX($J$1:$J$104,MATCH(TRUE,ISNUMBER(SEARCH(TRIM(A49),TRIM($J$1:$J$104))),0)),"")</f>
        <v>Disney XD USA</v>
      </c>
      <c r="I49" t="str" cm="1">
        <f t="array" ref="I49">INDEX($J$1:$J$104, _xlfn.XMATCH(TRUE, _xlfn.BYROW($J$1:$J$104, _xlfn.LAMBDA(_xlpm.x, COUNTIF(F49,"*"&amp;_xlpm.x&amp;"*")&gt;0)), 0))</f>
        <v>Disney</v>
      </c>
      <c r="J49" s="7" t="s">
        <v>200</v>
      </c>
      <c r="L49" t="str">
        <f t="shared" si="0"/>
        <v>Disney XD America- East</v>
      </c>
      <c r="M49" t="str">
        <f t="shared" si="1"/>
        <v>Disney XD America- West</v>
      </c>
    </row>
    <row r="50" spans="1:13" x14ac:dyDescent="0.25">
      <c r="A50" s="2" t="s">
        <v>59</v>
      </c>
      <c r="B50" s="9" t="s">
        <v>147</v>
      </c>
      <c r="C50" s="2" t="s">
        <v>33</v>
      </c>
      <c r="D50" s="2" t="s">
        <v>80</v>
      </c>
      <c r="E50" s="9" t="s">
        <v>147</v>
      </c>
      <c r="F50" t="str">
        <f>IF(E50="Y", A50 &amp; IF(D50="Canada", " Canada", IF(D50="USA", " America", "")), A50)</f>
        <v>Disney XD Canada</v>
      </c>
      <c r="G50" s="13" t="s">
        <v>147</v>
      </c>
      <c r="H50" t="str" cm="1">
        <f t="array" ref="H50">IFERROR(INDEX($J$1:$J$104,MATCH(TRUE,ISNUMBER(SEARCH(TRIM(A50),TRIM($J$1:$J$104))),0)),"")</f>
        <v>Disney XD USA</v>
      </c>
      <c r="I50" t="str" cm="1">
        <f t="array" ref="I50">INDEX($J$1:$J$104, _xlfn.XMATCH(TRUE, _xlfn.BYROW($J$1:$J$104, _xlfn.LAMBDA(_xlpm.x, COUNTIF(F50,"*"&amp;_xlpm.x&amp;"*")&gt;0)), 0))</f>
        <v>Disney</v>
      </c>
      <c r="J50" s="6" t="s">
        <v>171</v>
      </c>
      <c r="L50" t="str">
        <f t="shared" si="0"/>
        <v>Disney XD Canada- East</v>
      </c>
      <c r="M50" t="str">
        <f t="shared" si="1"/>
        <v>Disney XD Canada- West</v>
      </c>
    </row>
    <row r="51" spans="1:13" x14ac:dyDescent="0.25">
      <c r="A51" s="2" t="s">
        <v>58</v>
      </c>
      <c r="B51" s="9" t="s">
        <v>147</v>
      </c>
      <c r="C51" s="2" t="s">
        <v>5</v>
      </c>
      <c r="D51" s="2" t="s">
        <v>0</v>
      </c>
      <c r="E51" s="9" t="s">
        <v>147</v>
      </c>
      <c r="F51" t="str">
        <f>IF(E51="Y", A51 &amp; IF(D51="Canada", " Canada", IF(D51="USA", " America", "")), A51)</f>
        <v>E! America</v>
      </c>
      <c r="G51" s="13" t="s">
        <v>147</v>
      </c>
      <c r="H51" t="str" cm="1">
        <f t="array" ref="H51">IFERROR(INDEX($J$1:$J$104,MATCH(TRUE,ISNUMBER(SEARCH(TRIM(A51),TRIM($J$1:$J$104))),0)),"")</f>
        <v>E! Entertainment USA</v>
      </c>
      <c r="I51" cm="1">
        <f t="array" ref="I51">INDEX($J$1:$J$104, _xlfn.XMATCH(TRUE, _xlfn.BYROW($J$1:$J$104, _xlfn.LAMBDA(_xlpm.x, COUNTIF(F51,"*"&amp;_xlpm.x&amp;"*")&gt;0)), 0))</f>
        <v>0</v>
      </c>
      <c r="J51" s="7" t="s">
        <v>201</v>
      </c>
      <c r="L51" t="str">
        <f t="shared" si="0"/>
        <v>E! America- East</v>
      </c>
      <c r="M51" t="str">
        <f t="shared" si="1"/>
        <v>E! America- West</v>
      </c>
    </row>
    <row r="52" spans="1:13" x14ac:dyDescent="0.25">
      <c r="A52" s="2" t="s">
        <v>58</v>
      </c>
      <c r="B52" s="9" t="s">
        <v>147</v>
      </c>
      <c r="C52" s="2" t="s">
        <v>86</v>
      </c>
      <c r="D52" s="2" t="s">
        <v>80</v>
      </c>
      <c r="E52" s="9" t="s">
        <v>147</v>
      </c>
      <c r="F52" t="str">
        <f>IF(E52="Y", A52 &amp; IF(D52="Canada", " Canada", IF(D52="USA", " America", "")), A52)</f>
        <v>E! Canada</v>
      </c>
      <c r="G52" s="13" t="s">
        <v>147</v>
      </c>
      <c r="H52" t="str" cm="1">
        <f t="array" ref="H52">IFERROR(INDEX($J$1:$J$104,MATCH(TRUE,ISNUMBER(SEARCH(TRIM(A52),TRIM($J$1:$J$104))),0)),"")</f>
        <v>E! Entertainment USA</v>
      </c>
      <c r="I52" cm="1">
        <f t="array" ref="I52">INDEX($J$1:$J$104, _xlfn.XMATCH(TRUE, _xlfn.BYROW($J$1:$J$104, _xlfn.LAMBDA(_xlpm.x, COUNTIF(F52,"*"&amp;_xlpm.x&amp;"*")&gt;0)), 0))</f>
        <v>0</v>
      </c>
      <c r="J52" s="6" t="s">
        <v>172</v>
      </c>
      <c r="L52" t="str">
        <f t="shared" si="0"/>
        <v>E! Canada- East</v>
      </c>
      <c r="M52" t="str">
        <f t="shared" si="1"/>
        <v>E! Canada- West</v>
      </c>
    </row>
    <row r="53" spans="1:13" hidden="1" x14ac:dyDescent="0.25">
      <c r="A53" s="2" t="s">
        <v>57</v>
      </c>
      <c r="B53" s="9" t="s">
        <v>147</v>
      </c>
      <c r="C53" s="2" t="s">
        <v>33</v>
      </c>
      <c r="D53" s="2" t="s">
        <v>0</v>
      </c>
      <c r="E53" s="9" t="s">
        <v>147</v>
      </c>
      <c r="F53" t="str">
        <f>IF(E53="Y", A53 &amp; IF(D53="Canada", " Canada", IF(D53="USA", " America", "")), A53)</f>
        <v>ESPN America</v>
      </c>
      <c r="H53" t="str" cm="1">
        <f t="array" ref="H53">IFERROR(INDEX($J$1:$J$104,MATCH(TRUE,ISNUMBER(SEARCH(TRIM(A53),TRIM($J$1:$J$104))),0)),"")</f>
        <v/>
      </c>
      <c r="I53" cm="1">
        <f t="array" ref="I53">INDEX($J$1:$J$104, _xlfn.XMATCH(TRUE, _xlfn.BYROW($J$1:$J$104, _xlfn.LAMBDA(_xlpm.x, COUNTIF(F53,"*"&amp;_xlpm.x&amp;"*")&gt;0)), 0))</f>
        <v>0</v>
      </c>
      <c r="J53" s="7" t="s">
        <v>153</v>
      </c>
      <c r="L53" t="str">
        <f t="shared" si="0"/>
        <v/>
      </c>
      <c r="M53" t="str">
        <f t="shared" si="1"/>
        <v/>
      </c>
    </row>
    <row r="54" spans="1:13" hidden="1" x14ac:dyDescent="0.25">
      <c r="A54" s="2" t="s">
        <v>122</v>
      </c>
      <c r="B54" s="9" t="s">
        <v>143</v>
      </c>
      <c r="C54" s="2" t="s">
        <v>81</v>
      </c>
      <c r="D54" s="2" t="s">
        <v>80</v>
      </c>
      <c r="F54" t="str">
        <f>IF(E54="Y", A54 &amp; IF(D54="Canada", " Canada", IF(D54="USA", " America", "")), A54)</f>
        <v>Évasion</v>
      </c>
      <c r="H54" t="str" cm="1">
        <f t="array" ref="H54">IFERROR(INDEX($J$1:$J$104,MATCH(TRUE,ISNUMBER(SEARCH(TRIM(A54),TRIM($J$1:$J$104))),0)),"")</f>
        <v/>
      </c>
      <c r="I54" cm="1">
        <f t="array" ref="I54">INDEX($J$1:$J$104, _xlfn.XMATCH(TRUE, _xlfn.BYROW($J$1:$J$104, _xlfn.LAMBDA(_xlpm.x, COUNTIF(F54,"*"&amp;_xlpm.x&amp;"*")&gt;0)), 0))</f>
        <v>0</v>
      </c>
      <c r="J54" s="6" t="s">
        <v>202</v>
      </c>
      <c r="L54" t="str">
        <f t="shared" si="0"/>
        <v/>
      </c>
      <c r="M54" t="str">
        <f t="shared" si="1"/>
        <v/>
      </c>
    </row>
    <row r="55" spans="1:13" x14ac:dyDescent="0.25">
      <c r="A55" s="2" t="s">
        <v>121</v>
      </c>
      <c r="B55" s="9" t="s">
        <v>147</v>
      </c>
      <c r="C55" s="2" t="s">
        <v>83</v>
      </c>
      <c r="D55" s="2" t="s">
        <v>80</v>
      </c>
      <c r="E55" s="9" t="s">
        <v>147</v>
      </c>
      <c r="F55" t="str">
        <f>IF(E55="Y", A55 &amp; IF(D55="Canada", " Canada", IF(D55="USA", " America", "")), A55)</f>
        <v>Flavour Network Canada</v>
      </c>
      <c r="G55" s="13" t="s">
        <v>147</v>
      </c>
      <c r="H55" t="str" cm="1">
        <f t="array" ref="H55">IFERROR(INDEX($J$1:$J$104,MATCH(TRUE,ISNUMBER(SEARCH(TRIM(A55),TRIM($J$1:$J$104))),0)),"")</f>
        <v/>
      </c>
      <c r="I55" cm="1">
        <f t="array" ref="I55">INDEX($J$1:$J$104, _xlfn.XMATCH(TRUE, _xlfn.BYROW($J$1:$J$104, _xlfn.LAMBDA(_xlpm.x, COUNTIF(F55,"*"&amp;_xlpm.x&amp;"*")&gt;0)), 0))</f>
        <v>0</v>
      </c>
      <c r="J55" s="7" t="s">
        <v>203</v>
      </c>
      <c r="L55" t="str">
        <f t="shared" si="0"/>
        <v>Flavour Network Canada- East</v>
      </c>
      <c r="M55" t="str">
        <f t="shared" si="1"/>
        <v>Flavour Network Canada- West</v>
      </c>
    </row>
    <row r="56" spans="1:13" x14ac:dyDescent="0.25">
      <c r="A56" s="2" t="s">
        <v>56</v>
      </c>
      <c r="B56" s="9" t="s">
        <v>147</v>
      </c>
      <c r="C56" s="2" t="s">
        <v>11</v>
      </c>
      <c r="D56" s="2" t="s">
        <v>0</v>
      </c>
      <c r="E56" s="9" t="s">
        <v>147</v>
      </c>
      <c r="F56" t="str">
        <f>IF(E56="Y", A56 &amp; IF(D56="Canada", " Canada", IF(D56="USA", " America", "")), A56)</f>
        <v>Food Network America</v>
      </c>
      <c r="G56" s="13" t="s">
        <v>147</v>
      </c>
      <c r="H56" t="str" cm="1">
        <f t="array" ref="H56">IFERROR(INDEX($J$1:$J$104,MATCH(TRUE,ISNUMBER(SEARCH(TRIM(A56),TRIM($J$1:$J$104))),0)),"")</f>
        <v>Food Network USA</v>
      </c>
      <c r="I56" cm="1">
        <f t="array" ref="I56">INDEX($J$1:$J$104, _xlfn.XMATCH(TRUE, _xlfn.BYROW($J$1:$J$104, _xlfn.LAMBDA(_xlpm.x, COUNTIF(F56,"*"&amp;_xlpm.x&amp;"*")&gt;0)), 0))</f>
        <v>0</v>
      </c>
      <c r="J56" s="6" t="s">
        <v>204</v>
      </c>
      <c r="L56" t="str">
        <f t="shared" si="0"/>
        <v>Food Network America- East</v>
      </c>
      <c r="M56" t="str">
        <f t="shared" si="1"/>
        <v>Food Network America- West</v>
      </c>
    </row>
    <row r="57" spans="1:13" x14ac:dyDescent="0.25">
      <c r="A57" s="2" t="s">
        <v>56</v>
      </c>
      <c r="B57" s="9" t="s">
        <v>147</v>
      </c>
      <c r="C57" s="2" t="s">
        <v>93</v>
      </c>
      <c r="D57" s="2" t="s">
        <v>80</v>
      </c>
      <c r="E57" s="9" t="s">
        <v>147</v>
      </c>
      <c r="F57" t="str">
        <f>IF(E57="Y", A57 &amp; IF(D57="Canada", " Canada", IF(D57="USA", " America", "")), A57)</f>
        <v>Food Network Canada</v>
      </c>
      <c r="G57" s="13" t="s">
        <v>147</v>
      </c>
      <c r="H57" t="str" cm="1">
        <f t="array" ref="H57">IFERROR(INDEX($J$1:$J$104,MATCH(TRUE,ISNUMBER(SEARCH(TRIM(A57),TRIM($J$1:$J$104))),0)),"")</f>
        <v>Food Network USA</v>
      </c>
      <c r="I57" cm="1">
        <f t="array" ref="I57">INDEX($J$1:$J$104, _xlfn.XMATCH(TRUE, _xlfn.BYROW($J$1:$J$104, _xlfn.LAMBDA(_xlpm.x, COUNTIF(F57,"*"&amp;_xlpm.x&amp;"*")&gt;0)), 0))</f>
        <v>0</v>
      </c>
      <c r="J57" s="7" t="s">
        <v>154</v>
      </c>
      <c r="L57" t="str">
        <f t="shared" si="0"/>
        <v>Food Network Canada- East</v>
      </c>
      <c r="M57" t="str">
        <f t="shared" si="1"/>
        <v>Food Network Canada- West</v>
      </c>
    </row>
    <row r="58" spans="1:13" hidden="1" x14ac:dyDescent="0.25">
      <c r="A58" s="2" t="s">
        <v>55</v>
      </c>
      <c r="B58" s="9" t="s">
        <v>147</v>
      </c>
      <c r="C58" s="2" t="s">
        <v>9</v>
      </c>
      <c r="D58" s="2" t="s">
        <v>0</v>
      </c>
      <c r="E58" s="9" t="s">
        <v>143</v>
      </c>
      <c r="F58" t="str">
        <f>IF(E58="Y", A58 &amp; IF(D58="Canada", " Canada", IF(D58="USA", " America", "")), A58)</f>
        <v>Fox (local affiliates)</v>
      </c>
      <c r="H58" t="str" cm="1">
        <f t="array" ref="H58">IFERROR(INDEX($J$1:$J$104,MATCH(TRUE,ISNUMBER(SEARCH(TRIM(A58),TRIM($J$1:$J$104))),0)),"")</f>
        <v/>
      </c>
      <c r="I58" cm="1">
        <f t="array" ref="I58">INDEX($J$1:$J$104, _xlfn.XMATCH(TRUE, _xlfn.BYROW($J$1:$J$104, _xlfn.LAMBDA(_xlpm.x, COUNTIF(F58,"*"&amp;_xlpm.x&amp;"*")&gt;0)), 0))</f>
        <v>0</v>
      </c>
      <c r="J58" s="6" t="s">
        <v>205</v>
      </c>
      <c r="L58" t="str">
        <f t="shared" si="0"/>
        <v/>
      </c>
      <c r="M58" t="str">
        <f t="shared" si="1"/>
        <v/>
      </c>
    </row>
    <row r="59" spans="1:13" hidden="1" x14ac:dyDescent="0.25">
      <c r="A59" s="2" t="s">
        <v>54</v>
      </c>
      <c r="B59" s="9" t="s">
        <v>143</v>
      </c>
      <c r="C59" s="2" t="s">
        <v>9</v>
      </c>
      <c r="D59" s="2" t="s">
        <v>0</v>
      </c>
      <c r="E59" s="9" t="s">
        <v>143</v>
      </c>
      <c r="F59" t="str">
        <f>IF(E59="Y", A59 &amp; IF(D59="Canada", " Canada", IF(D59="USA", " America", "")), A59)</f>
        <v>Fox Business</v>
      </c>
      <c r="H59" t="str" cm="1">
        <f t="array" ref="H59">IFERROR(INDEX($J$1:$J$104,MATCH(TRUE,ISNUMBER(SEARCH(TRIM(A59),TRIM($J$1:$J$104))),0)),"")</f>
        <v/>
      </c>
      <c r="I59" cm="1">
        <f t="array" ref="I59">INDEX($J$1:$J$104, _xlfn.XMATCH(TRUE, _xlfn.BYROW($J$1:$J$104, _xlfn.LAMBDA(_xlpm.x, COUNTIF(F59,"*"&amp;_xlpm.x&amp;"*")&gt;0)), 0))</f>
        <v>0</v>
      </c>
      <c r="J59" s="7" t="s">
        <v>206</v>
      </c>
      <c r="L59" t="str">
        <f t="shared" si="0"/>
        <v/>
      </c>
      <c r="M59" t="str">
        <f t="shared" si="1"/>
        <v/>
      </c>
    </row>
    <row r="60" spans="1:13" hidden="1" x14ac:dyDescent="0.25">
      <c r="A60" s="2" t="s">
        <v>53</v>
      </c>
      <c r="B60" s="9" t="s">
        <v>143</v>
      </c>
      <c r="C60" s="2" t="s">
        <v>9</v>
      </c>
      <c r="D60" s="2" t="s">
        <v>0</v>
      </c>
      <c r="E60" s="9" t="s">
        <v>143</v>
      </c>
      <c r="F60" t="str">
        <f>IF(E60="Y", A60 &amp; IF(D60="Canada", " Canada", IF(D60="USA", " America", "")), A60)</f>
        <v>Fox News</v>
      </c>
      <c r="H60" t="str" cm="1">
        <f t="array" ref="H60">IFERROR(INDEX($J$1:$J$104,MATCH(TRUE,ISNUMBER(SEARCH(TRIM(A60),TRIM($J$1:$J$104))),0)),"")</f>
        <v/>
      </c>
      <c r="I60" cm="1">
        <f t="array" ref="I60">INDEX($J$1:$J$104, _xlfn.XMATCH(TRUE, _xlfn.BYROW($J$1:$J$104, _xlfn.LAMBDA(_xlpm.x, COUNTIF(F60,"*"&amp;_xlpm.x&amp;"*")&gt;0)), 0))</f>
        <v>0</v>
      </c>
      <c r="J60" s="6" t="s">
        <v>207</v>
      </c>
      <c r="L60" t="str">
        <f t="shared" si="0"/>
        <v/>
      </c>
      <c r="M60" t="str">
        <f t="shared" si="1"/>
        <v/>
      </c>
    </row>
    <row r="61" spans="1:13" x14ac:dyDescent="0.25">
      <c r="A61" s="2" t="s">
        <v>52</v>
      </c>
      <c r="B61" s="9" t="s">
        <v>143</v>
      </c>
      <c r="C61" s="2" t="s">
        <v>33</v>
      </c>
      <c r="D61" s="2" t="s">
        <v>0</v>
      </c>
      <c r="E61" s="9" t="s">
        <v>147</v>
      </c>
      <c r="F61" t="str">
        <f>IF(E61="Y", A61 &amp; IF(D61="Canada", " Canada", IF(D61="USA", " America", "")), A61)</f>
        <v>Freeform America</v>
      </c>
      <c r="G61" s="13" t="s">
        <v>147</v>
      </c>
      <c r="H61" t="str" cm="1">
        <f t="array" ref="H61">IFERROR(INDEX($J$1:$J$104,MATCH(TRUE,ISNUMBER(SEARCH(TRIM(A61),TRIM($J$1:$J$104))),0)),"")</f>
        <v>Freeform Feed</v>
      </c>
      <c r="I61" cm="1">
        <f t="array" ref="I61">INDEX($J$1:$J$104, _xlfn.XMATCH(TRUE, _xlfn.BYROW($J$1:$J$104, _xlfn.LAMBDA(_xlpm.x, COUNTIF(F61,"*"&amp;_xlpm.x&amp;"*")&gt;0)), 0))</f>
        <v>0</v>
      </c>
      <c r="J61" s="7" t="s">
        <v>208</v>
      </c>
      <c r="L61" t="str">
        <f t="shared" si="0"/>
        <v>Freeform America- East</v>
      </c>
      <c r="M61" t="str">
        <f t="shared" si="1"/>
        <v>Freeform America- West</v>
      </c>
    </row>
    <row r="62" spans="1:13" hidden="1" x14ac:dyDescent="0.25">
      <c r="A62" s="2" t="s">
        <v>51</v>
      </c>
      <c r="B62" s="9" t="s">
        <v>143</v>
      </c>
      <c r="C62" s="2" t="s">
        <v>9</v>
      </c>
      <c r="D62" s="2" t="s">
        <v>0</v>
      </c>
      <c r="E62" s="9" t="s">
        <v>143</v>
      </c>
      <c r="F62" t="str">
        <f>IF(E62="Y", A62 &amp; IF(D62="Canada", " Canada", IF(D62="USA", " America", "")), A62)</f>
        <v>FS1</v>
      </c>
      <c r="H62" t="str" cm="1">
        <f t="array" ref="H62">IFERROR(INDEX($J$1:$J$104,MATCH(TRUE,ISNUMBER(SEARCH(TRIM(A62),TRIM($J$1:$J$104))),0)),"")</f>
        <v/>
      </c>
      <c r="I62" cm="1">
        <f t="array" ref="I62">INDEX($J$1:$J$104, _xlfn.XMATCH(TRUE, _xlfn.BYROW($J$1:$J$104, _xlfn.LAMBDA(_xlpm.x, COUNTIF(F62,"*"&amp;_xlpm.x&amp;"*")&gt;0)), 0))</f>
        <v>0</v>
      </c>
      <c r="J62" s="6" t="s">
        <v>173</v>
      </c>
      <c r="L62" t="str">
        <f t="shared" si="0"/>
        <v/>
      </c>
      <c r="M62" t="str">
        <f t="shared" si="1"/>
        <v/>
      </c>
    </row>
    <row r="63" spans="1:13" hidden="1" x14ac:dyDescent="0.25">
      <c r="A63" s="2" t="s">
        <v>50</v>
      </c>
      <c r="B63" s="9" t="s">
        <v>143</v>
      </c>
      <c r="C63" s="2" t="s">
        <v>9</v>
      </c>
      <c r="D63" s="2" t="s">
        <v>0</v>
      </c>
      <c r="E63" s="9" t="s">
        <v>143</v>
      </c>
      <c r="F63" t="str">
        <f>IF(E63="Y", A63 &amp; IF(D63="Canada", " Canada", IF(D63="USA", " America", "")), A63)</f>
        <v>FS2</v>
      </c>
      <c r="H63" t="str" cm="1">
        <f t="array" ref="H63">IFERROR(INDEX($J$1:$J$104,MATCH(TRUE,ISNUMBER(SEARCH(TRIM(A63),TRIM($J$1:$J$104))),0)),"")</f>
        <v/>
      </c>
      <c r="I63" cm="1">
        <f t="array" ref="I63">INDEX($J$1:$J$104, _xlfn.XMATCH(TRUE, _xlfn.BYROW($J$1:$J$104, _xlfn.LAMBDA(_xlpm.x, COUNTIF(F63,"*"&amp;_xlpm.x&amp;"*")&gt;0)), 0))</f>
        <v>0</v>
      </c>
      <c r="J63" s="7" t="s">
        <v>209</v>
      </c>
      <c r="L63" t="str">
        <f t="shared" si="0"/>
        <v/>
      </c>
      <c r="M63" t="str">
        <f t="shared" si="1"/>
        <v/>
      </c>
    </row>
    <row r="64" spans="1:13" x14ac:dyDescent="0.25">
      <c r="A64" s="2" t="s">
        <v>49</v>
      </c>
      <c r="B64" s="9" t="s">
        <v>143</v>
      </c>
      <c r="C64" s="2" t="s">
        <v>33</v>
      </c>
      <c r="D64" s="2" t="s">
        <v>0</v>
      </c>
      <c r="E64" s="9" t="s">
        <v>143</v>
      </c>
      <c r="F64" t="str">
        <f>IF(E64="Y", A64 &amp; IF(D64="Canada", " Canada", IF(D64="USA", " America", "")), A64)</f>
        <v>FX</v>
      </c>
      <c r="G64" s="13" t="s">
        <v>147</v>
      </c>
      <c r="H64" t="str" cm="1">
        <f t="array" ref="H64">IFERROR(INDEX($J$1:$J$104,MATCH(TRUE,ISNUMBER(SEARCH(TRIM(A64),TRIM($J$1:$J$104))),0)),"")</f>
        <v>FX Networks East Coast</v>
      </c>
      <c r="I64" cm="1">
        <f t="array" ref="I64">INDEX($J$1:$J$104, _xlfn.XMATCH(TRUE, _xlfn.BYROW($J$1:$J$104, _xlfn.LAMBDA(_xlpm.x, COUNTIF(F64,"*"&amp;_xlpm.x&amp;"*")&gt;0)), 0))</f>
        <v>0</v>
      </c>
      <c r="J64" s="6" t="s">
        <v>174</v>
      </c>
      <c r="L64" t="str">
        <f t="shared" si="0"/>
        <v>FX- East</v>
      </c>
      <c r="M64" t="str">
        <f t="shared" si="1"/>
        <v>FX- West</v>
      </c>
    </row>
    <row r="65" spans="1:13" x14ac:dyDescent="0.25">
      <c r="A65" s="2" t="s">
        <v>120</v>
      </c>
      <c r="B65" s="9" t="s">
        <v>147</v>
      </c>
      <c r="C65" s="2" t="s">
        <v>83</v>
      </c>
      <c r="D65" s="2" t="s">
        <v>80</v>
      </c>
      <c r="E65" s="9" t="s">
        <v>143</v>
      </c>
      <c r="F65" t="str">
        <f>IF(E65="yes", A65 &amp; IF(D65="Canada", " Canada", IF(D65="USA", " America", "")), A65)</f>
        <v>FX Canada</v>
      </c>
      <c r="G65" s="13" t="s">
        <v>147</v>
      </c>
      <c r="H65" t="str" cm="1">
        <f t="array" ref="H65">IFERROR(INDEX($J$1:$J$104,MATCH(TRUE,ISNUMBER(SEARCH(TRIM(A65),TRIM($J$1:$J$104))),0)),"")</f>
        <v/>
      </c>
      <c r="I65" cm="1">
        <f t="array" ref="I65">INDEX($J$1:$J$104, _xlfn.XMATCH(TRUE, _xlfn.BYROW($J$1:$J$104, _xlfn.LAMBDA(_xlpm.x, COUNTIF(F65,"*"&amp;_xlpm.x&amp;"*")&gt;0)), 0))</f>
        <v>0</v>
      </c>
      <c r="J65" s="7" t="s">
        <v>210</v>
      </c>
      <c r="L65" t="str">
        <f t="shared" si="0"/>
        <v>FX Canada- East</v>
      </c>
      <c r="M65" t="str">
        <f t="shared" si="1"/>
        <v>FX Canada- West</v>
      </c>
    </row>
    <row r="66" spans="1:13" x14ac:dyDescent="0.25">
      <c r="A66" s="2" t="s">
        <v>48</v>
      </c>
      <c r="B66" s="9" t="s">
        <v>147</v>
      </c>
      <c r="C66" s="2" t="s">
        <v>33</v>
      </c>
      <c r="D66" s="2" t="s">
        <v>0</v>
      </c>
      <c r="E66" s="9" t="s">
        <v>147</v>
      </c>
      <c r="F66" t="str">
        <f>IF(E66="Y", A66 &amp; IF(D66="Canada", " Canada", IF(D66="USA", " America", "")), A66)</f>
        <v>FXX America</v>
      </c>
      <c r="G66" s="13" t="s">
        <v>147</v>
      </c>
      <c r="H66" t="str" cm="1">
        <f t="array" ref="H66">IFERROR(INDEX($J$1:$J$104,MATCH(TRUE,ISNUMBER(SEARCH(TRIM(A66),TRIM($J$1:$J$104))),0)),"")</f>
        <v>FXX USAern</v>
      </c>
      <c r="I66" cm="1">
        <f t="array" ref="I66">INDEX($J$1:$J$104, _xlfn.XMATCH(TRUE, _xlfn.BYROW($J$1:$J$104, _xlfn.LAMBDA(_xlpm.x, COUNTIF(F66,"*"&amp;_xlpm.x&amp;"*")&gt;0)), 0))</f>
        <v>0</v>
      </c>
      <c r="J66" s="6" t="s">
        <v>155</v>
      </c>
      <c r="L66" t="str">
        <f t="shared" si="0"/>
        <v>FXX America- East</v>
      </c>
      <c r="M66" t="str">
        <f t="shared" si="1"/>
        <v>FXX America- West</v>
      </c>
    </row>
    <row r="67" spans="1:13" x14ac:dyDescent="0.25">
      <c r="A67" s="2" t="s">
        <v>119</v>
      </c>
      <c r="B67" s="9" t="s">
        <v>147</v>
      </c>
      <c r="C67" s="2" t="s">
        <v>83</v>
      </c>
      <c r="D67" s="2" t="s">
        <v>80</v>
      </c>
      <c r="E67" s="9" t="s">
        <v>143</v>
      </c>
      <c r="F67" t="str">
        <f>IF(E67="yes", A67 &amp; IF(D67="Canada", " Canada", IF(D67="USA", " America", "")), A67)</f>
        <v>FXX Canada</v>
      </c>
      <c r="G67" s="13" t="s">
        <v>147</v>
      </c>
      <c r="H67" t="str" cm="1">
        <f t="array" ref="H67">IFERROR(INDEX($J$1:$J$104,MATCH(TRUE,ISNUMBER(SEARCH(TRIM(A67),TRIM($J$1:$J$104))),0)),"")</f>
        <v/>
      </c>
      <c r="I67" cm="1">
        <f t="array" ref="I67">INDEX($J$1:$J$104, _xlfn.XMATCH(TRUE, _xlfn.BYROW($J$1:$J$104, _xlfn.LAMBDA(_xlpm.x, COUNTIF(F67,"*"&amp;_xlpm.x&amp;"*")&gt;0)), 0))</f>
        <v>0</v>
      </c>
      <c r="J67" s="7" t="s">
        <v>211</v>
      </c>
      <c r="L67" t="str">
        <f t="shared" ref="L67:L130" si="3">IF(G67="Y", F67&amp;L$1, "")</f>
        <v>FXX Canada- East</v>
      </c>
      <c r="M67" t="str">
        <f t="shared" ref="M67:M130" si="4">IF(G67="Y", F67&amp;M$1, "")</f>
        <v>FXX Canada- West</v>
      </c>
    </row>
    <row r="68" spans="1:13" hidden="1" x14ac:dyDescent="0.25">
      <c r="A68" s="2" t="s">
        <v>118</v>
      </c>
      <c r="B68" s="9" t="s">
        <v>147</v>
      </c>
      <c r="C68" s="2" t="s">
        <v>83</v>
      </c>
      <c r="D68" s="2" t="s">
        <v>80</v>
      </c>
      <c r="E68" s="9" t="s">
        <v>143</v>
      </c>
      <c r="F68" t="str">
        <f>IF(E68="Y", A68 &amp; IF(D68="Canada", " Canada", IF(D68="USA", " America", "")), A68)</f>
        <v>Global (local stations)</v>
      </c>
      <c r="H68" t="str" cm="1">
        <f t="array" ref="H68">IFERROR(INDEX($J$1:$J$104,MATCH(TRUE,ISNUMBER(SEARCH(TRIM(A68),TRIM($J$1:$J$104))),0)),"")</f>
        <v/>
      </c>
      <c r="I68" cm="1">
        <f t="array" ref="I68">INDEX($J$1:$J$104, _xlfn.XMATCH(TRUE, _xlfn.BYROW($J$1:$J$104, _xlfn.LAMBDA(_xlpm.x, COUNTIF(F68,"*"&amp;_xlpm.x&amp;"*")&gt;0)), 0))</f>
        <v>0</v>
      </c>
      <c r="J68" s="6" t="s">
        <v>104</v>
      </c>
      <c r="L68" t="str">
        <f t="shared" si="3"/>
        <v/>
      </c>
      <c r="M68" t="str">
        <f t="shared" si="4"/>
        <v/>
      </c>
    </row>
    <row r="69" spans="1:13" hidden="1" x14ac:dyDescent="0.25">
      <c r="A69" s="2" t="s">
        <v>47</v>
      </c>
      <c r="B69" s="9" t="s">
        <v>143</v>
      </c>
      <c r="C69" s="2" t="s">
        <v>5</v>
      </c>
      <c r="D69" s="2" t="s">
        <v>0</v>
      </c>
      <c r="E69" s="9" t="s">
        <v>147</v>
      </c>
      <c r="F69" t="str">
        <f>IF(E69="Y", A69 &amp; IF(D69="Canada", " Canada", IF(D69="USA", " America", "")), A69)</f>
        <v>Golf Channel America</v>
      </c>
      <c r="H69" t="str" cm="1">
        <f t="array" ref="H69">IFERROR(INDEX($J$1:$J$104,MATCH(TRUE,ISNUMBER(SEARCH(TRIM(A69),TRIM($J$1:$J$104))),0)),"")</f>
        <v/>
      </c>
      <c r="I69" cm="1">
        <f t="array" ref="I69">INDEX($J$1:$J$104, _xlfn.XMATCH(TRUE, _xlfn.BYROW($J$1:$J$104, _xlfn.LAMBDA(_xlpm.x, COUNTIF(F69,"*"&amp;_xlpm.x&amp;"*")&gt;0)), 0))</f>
        <v>0</v>
      </c>
      <c r="J69" s="7" t="s">
        <v>175</v>
      </c>
      <c r="L69" t="str">
        <f t="shared" si="3"/>
        <v/>
      </c>
      <c r="M69" t="str">
        <f t="shared" si="4"/>
        <v/>
      </c>
    </row>
    <row r="70" spans="1:13" x14ac:dyDescent="0.25">
      <c r="A70" s="2" t="s">
        <v>46</v>
      </c>
      <c r="B70" s="9" t="s">
        <v>147</v>
      </c>
      <c r="C70" s="2" t="s">
        <v>11</v>
      </c>
      <c r="D70" s="2" t="s">
        <v>0</v>
      </c>
      <c r="E70" s="9" t="s">
        <v>147</v>
      </c>
      <c r="F70" t="str">
        <f>IF(E70="Y", A70 &amp; IF(D70="Canada", " Canada", IF(D70="USA", " America", "")), A70)</f>
        <v>HBO America</v>
      </c>
      <c r="G70" s="13" t="s">
        <v>147</v>
      </c>
      <c r="H70" t="str" cm="1">
        <f t="array" ref="H70">IFERROR(INDEX($J$1:$J$104,MATCH(TRUE,ISNUMBER(SEARCH(TRIM(A70),TRIM($J$1:$J$104))),0)),"")</f>
        <v>HBO</v>
      </c>
      <c r="I70" t="str" cm="1">
        <f t="array" ref="I70">INDEX($J$1:$J$104, _xlfn.XMATCH(TRUE, _xlfn.BYROW($J$1:$J$104, _xlfn.LAMBDA(_xlpm.x, COUNTIF(F70,"*"&amp;_xlpm.x&amp;"*")&gt;0)), 0))</f>
        <v>HBO</v>
      </c>
      <c r="J70" s="6" t="s">
        <v>176</v>
      </c>
      <c r="L70" t="str">
        <f t="shared" si="3"/>
        <v>HBO America- East</v>
      </c>
      <c r="M70" t="str">
        <f t="shared" si="4"/>
        <v>HBO America- West</v>
      </c>
    </row>
    <row r="71" spans="1:13" x14ac:dyDescent="0.25">
      <c r="A71" s="2" t="s">
        <v>117</v>
      </c>
      <c r="B71" s="9" t="s">
        <v>147</v>
      </c>
      <c r="C71" s="2" t="s">
        <v>83</v>
      </c>
      <c r="D71" s="2" t="s">
        <v>80</v>
      </c>
      <c r="E71" s="9" t="s">
        <v>143</v>
      </c>
      <c r="F71" t="str">
        <f>IF(E71="yes", A71 &amp; IF(D71="Canada", " Canada", IF(D71="USA", " America", "")), A71)</f>
        <v>HBO Canada</v>
      </c>
      <c r="G71" s="13" t="s">
        <v>147</v>
      </c>
      <c r="H71" t="str" cm="1">
        <f t="array" ref="H71">IFERROR(INDEX($J$1:$J$104,MATCH(TRUE,ISNUMBER(SEARCH(TRIM(A71),TRIM($J$1:$J$104))),0)),"")</f>
        <v/>
      </c>
      <c r="I71" t="str" cm="1">
        <f t="array" ref="I71">INDEX($J$1:$J$104, _xlfn.XMATCH(TRUE, _xlfn.BYROW($J$1:$J$104, _xlfn.LAMBDA(_xlpm.x, COUNTIF(F71,"*"&amp;_xlpm.x&amp;"*")&gt;0)), 0))</f>
        <v>HBO</v>
      </c>
      <c r="J71" s="7" t="s">
        <v>212</v>
      </c>
      <c r="L71" t="str">
        <f t="shared" si="3"/>
        <v>HBO Canada- East</v>
      </c>
      <c r="M71" t="str">
        <f t="shared" si="4"/>
        <v>HBO Canada- West</v>
      </c>
    </row>
    <row r="72" spans="1:13" x14ac:dyDescent="0.25">
      <c r="A72" s="2" t="s">
        <v>45</v>
      </c>
      <c r="B72" s="9" t="s">
        <v>147</v>
      </c>
      <c r="C72" s="2" t="s">
        <v>11</v>
      </c>
      <c r="D72" s="2" t="s">
        <v>0</v>
      </c>
      <c r="E72" s="9" t="s">
        <v>147</v>
      </c>
      <c r="F72" t="str">
        <f>IF(E72="Y", A72 &amp; IF(D72="Canada", " Canada", IF(D72="USA", " America", "")), A72)</f>
        <v>HGTV America</v>
      </c>
      <c r="G72" s="13" t="s">
        <v>147</v>
      </c>
      <c r="H72" t="str" cm="1">
        <f t="array" ref="H72">IFERROR(INDEX($J$1:$J$104,MATCH(TRUE,ISNUMBER(SEARCH(TRIM(A72),TRIM($J$1:$J$104))),0)),"")</f>
        <v>HGTV USA</v>
      </c>
      <c r="I72" cm="1">
        <f t="array" ref="I72">INDEX($J$1:$J$104, _xlfn.XMATCH(TRUE, _xlfn.BYROW($J$1:$J$104, _xlfn.LAMBDA(_xlpm.x, COUNTIF(F72,"*"&amp;_xlpm.x&amp;"*")&gt;0)), 0))</f>
        <v>0</v>
      </c>
      <c r="J72" s="6" t="s">
        <v>213</v>
      </c>
      <c r="L72" t="str">
        <f t="shared" si="3"/>
        <v>HGTV America- East</v>
      </c>
      <c r="M72" t="str">
        <f t="shared" si="4"/>
        <v>HGTV America- West</v>
      </c>
    </row>
    <row r="73" spans="1:13" x14ac:dyDescent="0.25">
      <c r="A73" s="2" t="s">
        <v>45</v>
      </c>
      <c r="B73" s="9" t="s">
        <v>147</v>
      </c>
      <c r="C73" s="2" t="s">
        <v>93</v>
      </c>
      <c r="D73" s="2" t="s">
        <v>80</v>
      </c>
      <c r="E73" s="9" t="s">
        <v>147</v>
      </c>
      <c r="F73" t="str">
        <f>IF(E73="Y", A73 &amp; IF(D73="Canada", " Canada", IF(D73="USA", " America", "")), A73)</f>
        <v>HGTV Canada</v>
      </c>
      <c r="G73" s="13" t="s">
        <v>147</v>
      </c>
      <c r="H73" t="str" cm="1">
        <f t="array" ref="H73">IFERROR(INDEX($J$1:$J$104,MATCH(TRUE,ISNUMBER(SEARCH(TRIM(A73),TRIM($J$1:$J$104))),0)),"")</f>
        <v>HGTV USA</v>
      </c>
      <c r="I73" cm="1">
        <f t="array" ref="I73">INDEX($J$1:$J$104, _xlfn.XMATCH(TRUE, _xlfn.BYROW($J$1:$J$104, _xlfn.LAMBDA(_xlpm.x, COUNTIF(F73,"*"&amp;_xlpm.x&amp;"*")&gt;0)), 0))</f>
        <v>0</v>
      </c>
      <c r="J73" s="7" t="s">
        <v>214</v>
      </c>
      <c r="L73" t="str">
        <f t="shared" si="3"/>
        <v>HGTV Canada- East</v>
      </c>
      <c r="M73" t="str">
        <f t="shared" si="4"/>
        <v>HGTV Canada- West</v>
      </c>
    </row>
    <row r="74" spans="1:13" x14ac:dyDescent="0.25">
      <c r="A74" s="2" t="s">
        <v>44</v>
      </c>
      <c r="B74" s="9" t="s">
        <v>147</v>
      </c>
      <c r="C74" s="2" t="s">
        <v>33</v>
      </c>
      <c r="D74" s="2" t="s">
        <v>0</v>
      </c>
      <c r="E74" s="9" t="s">
        <v>147</v>
      </c>
      <c r="F74" t="str">
        <f>IF(E74="Y", A74 &amp; IF(D74="Canada", " Canada", IF(D74="USA", " America", "")), A74)</f>
        <v>History America</v>
      </c>
      <c r="G74" s="13" t="s">
        <v>147</v>
      </c>
      <c r="H74" t="str" cm="1">
        <f t="array" ref="H74">IFERROR(INDEX($J$1:$J$104,MATCH(TRUE,ISNUMBER(SEARCH(TRIM(A74),TRIM($J$1:$J$104))),0)),"")</f>
        <v>History Canada East</v>
      </c>
      <c r="I74" cm="1">
        <f t="array" ref="I74">INDEX($J$1:$J$104, _xlfn.XMATCH(TRUE, _xlfn.BYROW($J$1:$J$104, _xlfn.LAMBDA(_xlpm.x, COUNTIF(F74,"*"&amp;_xlpm.x&amp;"*")&gt;0)), 0))</f>
        <v>0</v>
      </c>
      <c r="J74" s="6" t="s">
        <v>215</v>
      </c>
      <c r="L74" t="str">
        <f t="shared" si="3"/>
        <v>History America- East</v>
      </c>
      <c r="M74" t="str">
        <f t="shared" si="4"/>
        <v>History America- West</v>
      </c>
    </row>
    <row r="75" spans="1:13" x14ac:dyDescent="0.25">
      <c r="A75" s="2" t="s">
        <v>44</v>
      </c>
      <c r="B75" s="9" t="s">
        <v>147</v>
      </c>
      <c r="C75" s="2" t="s">
        <v>83</v>
      </c>
      <c r="D75" s="2" t="s">
        <v>80</v>
      </c>
      <c r="E75" s="9" t="s">
        <v>147</v>
      </c>
      <c r="F75" t="str">
        <f>IF(E75="Y", A75 &amp; IF(D75="Canada", " Canada", IF(D75="USA", " America", "")), A75)</f>
        <v>History Canada</v>
      </c>
      <c r="G75" s="13" t="s">
        <v>147</v>
      </c>
      <c r="H75" t="str" cm="1">
        <f t="array" ref="H75">IFERROR(INDEX($J$1:$J$104,MATCH(TRUE,ISNUMBER(SEARCH(TRIM(A75),TRIM($J$1:$J$104))),0)),"")</f>
        <v>History Canada East</v>
      </c>
      <c r="I75" cm="1">
        <f t="array" ref="I75">INDEX($J$1:$J$104, _xlfn.XMATCH(TRUE, _xlfn.BYROW($J$1:$J$104, _xlfn.LAMBDA(_xlpm.x, COUNTIF(F75,"*"&amp;_xlpm.x&amp;"*")&gt;0)), 0))</f>
        <v>0</v>
      </c>
      <c r="J75" s="6" t="s">
        <v>216</v>
      </c>
      <c r="L75" t="str">
        <f t="shared" si="3"/>
        <v>History Canada- East</v>
      </c>
      <c r="M75" t="str">
        <f t="shared" si="4"/>
        <v>History Canada- West</v>
      </c>
    </row>
    <row r="76" spans="1:13" hidden="1" x14ac:dyDescent="0.25">
      <c r="A76" s="2" t="s">
        <v>116</v>
      </c>
      <c r="B76" s="9" t="s">
        <v>147</v>
      </c>
      <c r="C76" s="2" t="s">
        <v>83</v>
      </c>
      <c r="D76" s="2" t="s">
        <v>80</v>
      </c>
      <c r="E76" s="9" t="s">
        <v>147</v>
      </c>
      <c r="F76" t="str">
        <f>IF(E76="Y", A76 &amp; IF(D76="Canada", " Canada", IF(D76="USA", " America", "")), A76)</f>
        <v>Home Network Canada</v>
      </c>
      <c r="H76" t="str" cm="1">
        <f t="array" ref="H76">IFERROR(INDEX($J$1:$J$104,MATCH(TRUE,ISNUMBER(SEARCH(TRIM(A76),TRIM($J$1:$J$104))),0)),"")</f>
        <v/>
      </c>
      <c r="I76" cm="1">
        <f t="array" ref="I76">INDEX($J$1:$J$104, _xlfn.XMATCH(TRUE, _xlfn.BYROW($J$1:$J$104, _xlfn.LAMBDA(_xlpm.x, COUNTIF(F76,"*"&amp;_xlpm.x&amp;"*")&gt;0)), 0))</f>
        <v>0</v>
      </c>
      <c r="J76" s="7" t="s">
        <v>217</v>
      </c>
      <c r="L76" t="str">
        <f t="shared" si="3"/>
        <v/>
      </c>
      <c r="M76" t="str">
        <f t="shared" si="4"/>
        <v/>
      </c>
    </row>
    <row r="77" spans="1:13" hidden="1" x14ac:dyDescent="0.25">
      <c r="A77" s="2" t="s">
        <v>115</v>
      </c>
      <c r="B77" s="9" t="s">
        <v>143</v>
      </c>
      <c r="C77" s="2" t="s">
        <v>111</v>
      </c>
      <c r="D77" s="2" t="s">
        <v>80</v>
      </c>
      <c r="E77" s="9" t="s">
        <v>143</v>
      </c>
      <c r="F77" t="str">
        <f>IF(E77="Y", A77 &amp; IF(D77="Canada", " Canada", IF(D77="USA", " America", "")), A77)</f>
        <v>Ici ARTV</v>
      </c>
      <c r="H77" t="str" cm="1">
        <f t="array" ref="H77">IFERROR(INDEX($J$1:$J$104,MATCH(TRUE,ISNUMBER(SEARCH(TRIM(A77),TRIM($J$1:$J$104))),0)),"")</f>
        <v/>
      </c>
      <c r="I77" cm="1">
        <f t="array" ref="I77">INDEX($J$1:$J$104, _xlfn.XMATCH(TRUE, _xlfn.BYROW($J$1:$J$104, _xlfn.LAMBDA(_xlpm.x, COUNTIF(F77,"*"&amp;_xlpm.x&amp;"*")&gt;0)), 0))</f>
        <v>0</v>
      </c>
      <c r="J77" s="6" t="s">
        <v>218</v>
      </c>
      <c r="L77" t="str">
        <f t="shared" si="3"/>
        <v/>
      </c>
      <c r="M77" t="str">
        <f t="shared" si="4"/>
        <v/>
      </c>
    </row>
    <row r="78" spans="1:13" hidden="1" x14ac:dyDescent="0.25">
      <c r="A78" s="2" t="s">
        <v>114</v>
      </c>
      <c r="B78" s="9" t="s">
        <v>143</v>
      </c>
      <c r="C78" s="2" t="s">
        <v>111</v>
      </c>
      <c r="D78" s="2" t="s">
        <v>80</v>
      </c>
      <c r="E78" s="9" t="s">
        <v>143</v>
      </c>
      <c r="F78" t="str">
        <f>IF(E78="Y", A78 &amp; IF(D78="Canada", " Canada", IF(D78="USA", " America", "")), A78)</f>
        <v>Ici Explora</v>
      </c>
      <c r="H78" t="str" cm="1">
        <f t="array" ref="H78">IFERROR(INDEX($J$1:$J$104,MATCH(TRUE,ISNUMBER(SEARCH(TRIM(A78),TRIM($J$1:$J$104))),0)),"")</f>
        <v/>
      </c>
      <c r="I78" cm="1">
        <f t="array" ref="I78">INDEX($J$1:$J$104, _xlfn.XMATCH(TRUE, _xlfn.BYROW($J$1:$J$104, _xlfn.LAMBDA(_xlpm.x, COUNTIF(F78,"*"&amp;_xlpm.x&amp;"*")&gt;0)), 0))</f>
        <v>0</v>
      </c>
      <c r="J78" s="7" t="s">
        <v>219</v>
      </c>
      <c r="L78" t="str">
        <f t="shared" si="3"/>
        <v/>
      </c>
      <c r="M78" t="str">
        <f t="shared" si="4"/>
        <v/>
      </c>
    </row>
    <row r="79" spans="1:13" ht="27" hidden="1" x14ac:dyDescent="0.25">
      <c r="A79" s="2" t="s">
        <v>113</v>
      </c>
      <c r="B79" s="9" t="s">
        <v>143</v>
      </c>
      <c r="C79" s="2" t="s">
        <v>111</v>
      </c>
      <c r="D79" s="2" t="s">
        <v>80</v>
      </c>
      <c r="E79" s="9" t="s">
        <v>143</v>
      </c>
      <c r="F79" t="str">
        <f>IF(E79="yes", A79 &amp; IF(D79="Canada", " Canada", IF(D79="USA", " America", "")), A79)</f>
        <v>Ici Radio-Canada Télé (local stations)</v>
      </c>
      <c r="H79" t="str" cm="1">
        <f t="array" ref="H79">IFERROR(INDEX($J$1:$J$104,MATCH(TRUE,ISNUMBER(SEARCH(TRIM(A79),TRIM($J$1:$J$104))),0)),"")</f>
        <v/>
      </c>
      <c r="I79" cm="1">
        <f t="array" ref="I79">INDEX($J$1:$J$104, _xlfn.XMATCH(TRUE, _xlfn.BYROW($J$1:$J$104, _xlfn.LAMBDA(_xlpm.x, COUNTIF(F79,"*"&amp;_xlpm.x&amp;"*")&gt;0)), 0))</f>
        <v>0</v>
      </c>
      <c r="J79" s="6" t="s">
        <v>220</v>
      </c>
      <c r="L79" t="str">
        <f t="shared" si="3"/>
        <v/>
      </c>
      <c r="M79" t="str">
        <f t="shared" si="4"/>
        <v/>
      </c>
    </row>
    <row r="80" spans="1:13" x14ac:dyDescent="0.25">
      <c r="A80" s="2" t="s">
        <v>240</v>
      </c>
      <c r="B80" s="9" t="s">
        <v>147</v>
      </c>
      <c r="C80" s="2"/>
      <c r="D80" s="2" t="s">
        <v>0</v>
      </c>
      <c r="E80" s="9" t="s">
        <v>143</v>
      </c>
      <c r="F80" t="str">
        <f>IF(E80="yes", A80 &amp; IF(D80="Canada", " Canada", IF(D80="USA", " America", "")), A80)</f>
        <v>ION</v>
      </c>
      <c r="G80" s="13" t="s">
        <v>147</v>
      </c>
      <c r="H80" t="str" cm="1">
        <f t="array" ref="H80">IFERROR(INDEX($J$1:$J$104,MATCH(TRUE,ISNUMBER(SEARCH(TRIM(A80),TRIM($J$1:$J$104))),0)),"")</f>
        <v>Cinemax Actionern</v>
      </c>
      <c r="I80" cm="1">
        <f t="array" ref="I80">INDEX($J$1:$J$104, _xlfn.XMATCH(TRUE, _xlfn.BYROW($J$1:$J$104, _xlfn.LAMBDA(_xlpm.x, COUNTIF(F80,"*"&amp;_xlpm.x&amp;"*")&gt;0)), 0))</f>
        <v>0</v>
      </c>
      <c r="J80" s="6"/>
      <c r="L80" t="str">
        <f t="shared" si="3"/>
        <v>ION- East</v>
      </c>
      <c r="M80" t="str">
        <f t="shared" si="4"/>
        <v>ION- West</v>
      </c>
    </row>
    <row r="81" spans="1:13" hidden="1" x14ac:dyDescent="0.25">
      <c r="A81" s="2" t="s">
        <v>112</v>
      </c>
      <c r="B81" s="9" t="s">
        <v>143</v>
      </c>
      <c r="C81" s="2" t="s">
        <v>111</v>
      </c>
      <c r="D81" s="2" t="s">
        <v>80</v>
      </c>
      <c r="E81" s="9" t="s">
        <v>143</v>
      </c>
      <c r="F81" t="str">
        <f>IF(E81="Y", A81 &amp; IF(D81="Canada", " Canada", IF(D81="USA", " America", "")), A81)</f>
        <v>Ici RDI</v>
      </c>
      <c r="H81" t="str" cm="1">
        <f t="array" ref="H81">IFERROR(INDEX($J$1:$J$104,MATCH(TRUE,ISNUMBER(SEARCH(TRIM(A81),TRIM($J$1:$J$104))),0)),"")</f>
        <v/>
      </c>
      <c r="I81" cm="1">
        <f t="array" ref="I81">INDEX($J$1:$J$104, _xlfn.XMATCH(TRUE, _xlfn.BYROW($J$1:$J$104, _xlfn.LAMBDA(_xlpm.x, COUNTIF(F81,"*"&amp;_xlpm.x&amp;"*")&gt;0)), 0))</f>
        <v>0</v>
      </c>
      <c r="J81" s="6" t="s">
        <v>221</v>
      </c>
      <c r="L81" t="str">
        <f t="shared" si="3"/>
        <v/>
      </c>
      <c r="M81" t="str">
        <f t="shared" si="4"/>
        <v/>
      </c>
    </row>
    <row r="82" spans="1:13" x14ac:dyDescent="0.25">
      <c r="A82" s="2" t="s">
        <v>43</v>
      </c>
      <c r="B82" s="9" t="s">
        <v>147</v>
      </c>
      <c r="C82" s="2" t="s">
        <v>11</v>
      </c>
      <c r="D82" s="2" t="s">
        <v>0</v>
      </c>
      <c r="E82" s="9" t="s">
        <v>147</v>
      </c>
      <c r="F82" t="str">
        <f>IF(E82="Y", A82 &amp; IF(D82="Canada", " Canada", IF(D82="USA", " America", "")), A82)</f>
        <v>Investigation Discovery America</v>
      </c>
      <c r="G82" s="13" t="s">
        <v>147</v>
      </c>
      <c r="H82" t="str" cm="1">
        <f t="array" ref="H82">IFERROR(INDEX($J$1:$J$104,MATCH(TRUE,ISNUMBER(SEARCH(TRIM(A82),TRIM($J$1:$J$104))),0)),"")</f>
        <v>Investigation Discovery USAern</v>
      </c>
      <c r="I82" cm="1">
        <f t="array" ref="I82">INDEX($J$1:$J$104, _xlfn.XMATCH(TRUE, _xlfn.BYROW($J$1:$J$104, _xlfn.LAMBDA(_xlpm.x, COUNTIF(F82,"*"&amp;_xlpm.x&amp;"*")&gt;0)), 0))</f>
        <v>0</v>
      </c>
      <c r="J82" s="6" t="s">
        <v>222</v>
      </c>
      <c r="L82" t="str">
        <f t="shared" si="3"/>
        <v>Investigation Discovery America- East</v>
      </c>
      <c r="M82" t="str">
        <f t="shared" si="4"/>
        <v>Investigation Discovery America- West</v>
      </c>
    </row>
    <row r="83" spans="1:13" hidden="1" x14ac:dyDescent="0.25">
      <c r="A83" s="2" t="s">
        <v>110</v>
      </c>
      <c r="B83" s="9" t="s">
        <v>143</v>
      </c>
      <c r="C83" s="2" t="s">
        <v>81</v>
      </c>
      <c r="D83" s="2" t="s">
        <v>80</v>
      </c>
      <c r="F83" t="str">
        <f>IF(E83="Y", A83 &amp; IF(D83="Canada", " Canada", IF(D83="USA", " America", "")), A83)</f>
        <v>LCN</v>
      </c>
      <c r="H83" t="str" cm="1">
        <f t="array" ref="H83">IFERROR(INDEX($J$1:$J$104,MATCH(TRUE,ISNUMBER(SEARCH(TRIM(A83),TRIM($J$1:$J$104))),0)),"")</f>
        <v/>
      </c>
      <c r="I83" cm="1">
        <f t="array" ref="I83">INDEX($J$1:$J$104, _xlfn.XMATCH(TRUE, _xlfn.BYROW($J$1:$J$104, _xlfn.LAMBDA(_xlpm.x, COUNTIF(F83,"*"&amp;_xlpm.x&amp;"*")&gt;0)), 0))</f>
        <v>0</v>
      </c>
      <c r="J83" s="7" t="s">
        <v>223</v>
      </c>
      <c r="L83" t="str">
        <f t="shared" si="3"/>
        <v/>
      </c>
      <c r="M83" t="str">
        <f t="shared" si="4"/>
        <v/>
      </c>
    </row>
    <row r="84" spans="1:13" x14ac:dyDescent="0.25">
      <c r="A84" s="2" t="s">
        <v>42</v>
      </c>
      <c r="B84" s="9" t="s">
        <v>147</v>
      </c>
      <c r="C84" s="2" t="s">
        <v>33</v>
      </c>
      <c r="D84" s="2" t="s">
        <v>0</v>
      </c>
      <c r="E84" s="9" t="s">
        <v>147</v>
      </c>
      <c r="F84" t="str">
        <f>IF(E84="Y", A84 &amp; IF(D84="Canada", " Canada", IF(D84="USA", " America", "")), A84)</f>
        <v>Lifetime America</v>
      </c>
      <c r="G84" s="13" t="s">
        <v>147</v>
      </c>
      <c r="H84" t="str" cm="1">
        <f t="array" ref="H84">IFERROR(INDEX($J$1:$J$104,MATCH(TRUE,ISNUMBER(SEARCH(TRIM(A84),TRIM($J$1:$J$104))),0)),"")</f>
        <v>Lifetime Movies</v>
      </c>
      <c r="I84" cm="1">
        <f t="array" ref="I84">INDEX($J$1:$J$104, _xlfn.XMATCH(TRUE, _xlfn.BYROW($J$1:$J$104, _xlfn.LAMBDA(_xlpm.x, COUNTIF(F84,"*"&amp;_xlpm.x&amp;"*")&gt;0)), 0))</f>
        <v>0</v>
      </c>
      <c r="J84" s="6" t="s">
        <v>224</v>
      </c>
      <c r="L84" t="str">
        <f t="shared" si="3"/>
        <v>Lifetime America- East</v>
      </c>
      <c r="M84" t="str">
        <f t="shared" si="4"/>
        <v>Lifetime America- West</v>
      </c>
    </row>
    <row r="85" spans="1:13" x14ac:dyDescent="0.25">
      <c r="A85" s="2" t="s">
        <v>41</v>
      </c>
      <c r="B85" s="9" t="s">
        <v>147</v>
      </c>
      <c r="C85" s="2" t="s">
        <v>3</v>
      </c>
      <c r="D85" s="2" t="s">
        <v>0</v>
      </c>
      <c r="E85" s="9" t="s">
        <v>147</v>
      </c>
      <c r="F85" t="str">
        <f>IF(E85="Y", A85 &amp; IF(D85="Canada", " Canada", IF(D85="USA", " America", "")), A85)</f>
        <v>Logo America</v>
      </c>
      <c r="G85" s="13" t="s">
        <v>147</v>
      </c>
      <c r="H85" t="str" cm="1">
        <f t="array" ref="H85">IFERROR(INDEX($J$1:$J$104,MATCH(TRUE,ISNUMBER(SEARCH(TRIM(A85),TRIM($J$1:$J$104))),0)),"")</f>
        <v>LOGO</v>
      </c>
      <c r="I85" cm="1">
        <f t="array" ref="I85">INDEX($J$1:$J$104, _xlfn.XMATCH(TRUE, _xlfn.BYROW($J$1:$J$104, _xlfn.LAMBDA(_xlpm.x, COUNTIF(F85,"*"&amp;_xlpm.x&amp;"*")&gt;0)), 0))</f>
        <v>0</v>
      </c>
      <c r="J85" s="7" t="s">
        <v>225</v>
      </c>
      <c r="L85" t="str">
        <f t="shared" si="3"/>
        <v>Logo America- East</v>
      </c>
      <c r="M85" t="str">
        <f t="shared" si="4"/>
        <v>Logo America- West</v>
      </c>
    </row>
    <row r="86" spans="1:13" x14ac:dyDescent="0.25">
      <c r="A86" s="2" t="s">
        <v>40</v>
      </c>
      <c r="B86" s="9" t="s">
        <v>147</v>
      </c>
      <c r="C86" s="2" t="s">
        <v>11</v>
      </c>
      <c r="D86" s="2" t="s">
        <v>0</v>
      </c>
      <c r="E86" s="9" t="s">
        <v>147</v>
      </c>
      <c r="F86" t="str">
        <f>IF(E86="Y", A86 &amp; IF(D86="Canada", " Canada", IF(D86="USA", " America", "")), A86)</f>
        <v>Magnolia Network America</v>
      </c>
      <c r="G86" s="13" t="s">
        <v>147</v>
      </c>
      <c r="H86" t="str" cm="1">
        <f t="array" ref="H86">IFERROR(INDEX($J$1:$J$104,MATCH(TRUE,ISNUMBER(SEARCH(TRIM(A86),TRIM($J$1:$J$104))),0)),"")</f>
        <v/>
      </c>
      <c r="I86" cm="1">
        <f t="array" ref="I86">INDEX($J$1:$J$104, _xlfn.XMATCH(TRUE, _xlfn.BYROW($J$1:$J$104, _xlfn.LAMBDA(_xlpm.x, COUNTIF(F86,"*"&amp;_xlpm.x&amp;"*")&gt;0)), 0))</f>
        <v>0</v>
      </c>
      <c r="J86" s="6" t="s">
        <v>226</v>
      </c>
      <c r="L86" t="str">
        <f t="shared" si="3"/>
        <v>Magnolia Network America- East</v>
      </c>
      <c r="M86" t="str">
        <f t="shared" si="4"/>
        <v>Magnolia Network America- West</v>
      </c>
    </row>
    <row r="87" spans="1:13" x14ac:dyDescent="0.25">
      <c r="A87" s="2" t="s">
        <v>40</v>
      </c>
      <c r="B87" s="9" t="s">
        <v>147</v>
      </c>
      <c r="C87" s="2" t="s">
        <v>93</v>
      </c>
      <c r="D87" s="2" t="s">
        <v>80</v>
      </c>
      <c r="E87" s="9" t="s">
        <v>147</v>
      </c>
      <c r="F87" t="str">
        <f>IF(E87="Y", A87 &amp; IF(D87="Canada", " Canada", IF(D87="USA", " America", "")), A87)</f>
        <v>Magnolia Network Canada</v>
      </c>
      <c r="G87" s="13" t="s">
        <v>147</v>
      </c>
      <c r="H87" t="str" cm="1">
        <f t="array" ref="H87">IFERROR(INDEX($J$1:$J$104,MATCH(TRUE,ISNUMBER(SEARCH(TRIM(A87),TRIM($J$1:$J$104))),0)),"")</f>
        <v/>
      </c>
      <c r="I87" cm="1">
        <f t="array" ref="I87">INDEX($J$1:$J$104, _xlfn.XMATCH(TRUE, _xlfn.BYROW($J$1:$J$104, _xlfn.LAMBDA(_xlpm.x, COUNTIF(F87,"*"&amp;_xlpm.x&amp;"*")&gt;0)), 0))</f>
        <v>0</v>
      </c>
      <c r="J87" s="7" t="s">
        <v>227</v>
      </c>
      <c r="L87" t="str">
        <f t="shared" si="3"/>
        <v>Magnolia Network Canada- East</v>
      </c>
      <c r="M87" t="str">
        <f t="shared" si="4"/>
        <v>Magnolia Network Canada- West</v>
      </c>
    </row>
    <row r="88" spans="1:13" x14ac:dyDescent="0.25">
      <c r="A88" s="2" t="s">
        <v>39</v>
      </c>
      <c r="B88" s="9" t="s">
        <v>147</v>
      </c>
      <c r="C88" s="2" t="s">
        <v>11</v>
      </c>
      <c r="D88" s="2" t="s">
        <v>0</v>
      </c>
      <c r="E88" s="9" t="s">
        <v>143</v>
      </c>
      <c r="F88" t="str">
        <f>IF(E88="Y", A88 &amp; IF(D88="Canada", " Canada", IF(D88="USA", " America", "")), A88)</f>
        <v>Max</v>
      </c>
      <c r="G88" s="13" t="s">
        <v>147</v>
      </c>
      <c r="H88" t="str" cm="1">
        <f t="array" ref="H88">IFERROR(INDEX($J$1:$J$104,MATCH(TRUE,ISNUMBER(SEARCH(TRIM(A88),TRIM($J$1:$J$104))),0)),"")</f>
        <v>Cinemax</v>
      </c>
      <c r="I88" cm="1">
        <f t="array" ref="I88">INDEX($J$1:$J$104, _xlfn.XMATCH(TRUE, _xlfn.BYROW($J$1:$J$104, _xlfn.LAMBDA(_xlpm.x, COUNTIF(F88,"*"&amp;_xlpm.x&amp;"*")&gt;0)), 0))</f>
        <v>0</v>
      </c>
      <c r="J88" s="6" t="s">
        <v>228</v>
      </c>
      <c r="L88" t="str">
        <f t="shared" si="3"/>
        <v>Max- East</v>
      </c>
      <c r="M88" t="str">
        <f t="shared" si="4"/>
        <v>Max- West</v>
      </c>
    </row>
    <row r="89" spans="1:13" x14ac:dyDescent="0.25">
      <c r="A89" s="2" t="s">
        <v>38</v>
      </c>
      <c r="B89" s="9" t="s">
        <v>147</v>
      </c>
      <c r="C89" s="2" t="s">
        <v>38</v>
      </c>
      <c r="D89" s="2" t="s">
        <v>0</v>
      </c>
      <c r="E89" s="9" t="s">
        <v>143</v>
      </c>
      <c r="F89" t="str">
        <f>IF(E89="Y", A89 &amp; IF(D89="Canada", " Canada", IF(D89="USA", " America", "")), A89)</f>
        <v>MGM</v>
      </c>
      <c r="G89" s="13" t="s">
        <v>147</v>
      </c>
      <c r="H89" t="str" cm="1">
        <f t="array" ref="H89">IFERROR(INDEX($J$1:$J$104,MATCH(TRUE,ISNUMBER(SEARCH(TRIM(A89),TRIM($J$1:$J$104))),0)),"")</f>
        <v>MGM+</v>
      </c>
      <c r="I89" cm="1">
        <f t="array" ref="I89">INDEX($J$1:$J$104, _xlfn.XMATCH(TRUE, _xlfn.BYROW($J$1:$J$104, _xlfn.LAMBDA(_xlpm.x, COUNTIF(F89,"*"&amp;_xlpm.x&amp;"*")&gt;0)), 0))</f>
        <v>0</v>
      </c>
      <c r="J89" s="7" t="s">
        <v>229</v>
      </c>
      <c r="L89" t="str">
        <f t="shared" si="3"/>
        <v>MGM- East</v>
      </c>
      <c r="M89" t="str">
        <f t="shared" si="4"/>
        <v>MGM- West</v>
      </c>
    </row>
    <row r="90" spans="1:13" hidden="1" x14ac:dyDescent="0.25">
      <c r="A90" s="2" t="s">
        <v>37</v>
      </c>
      <c r="B90" s="9" t="s">
        <v>147</v>
      </c>
      <c r="C90" s="2" t="s">
        <v>5</v>
      </c>
      <c r="D90" s="2" t="s">
        <v>0</v>
      </c>
      <c r="E90" s="9" t="s">
        <v>147</v>
      </c>
      <c r="F90" t="str">
        <f>IF(E90="Y", A90 &amp; IF(D90="Canada", " Canada", IF(D90="USA", " America", "")), A90)</f>
        <v>MSNBC America</v>
      </c>
      <c r="H90" t="str" cm="1">
        <f t="array" ref="H90">IFERROR(INDEX($J$1:$J$104,MATCH(TRUE,ISNUMBER(SEARCH(TRIM(A90),TRIM($J$1:$J$104))),0)),"")</f>
        <v/>
      </c>
      <c r="I90" cm="1">
        <f t="array" ref="I90">INDEX($J$1:$J$104, _xlfn.XMATCH(TRUE, _xlfn.BYROW($J$1:$J$104, _xlfn.LAMBDA(_xlpm.x, COUNTIF(F90,"*"&amp;_xlpm.x&amp;"*")&gt;0)), 0))</f>
        <v>0</v>
      </c>
      <c r="J90" s="7" t="s">
        <v>230</v>
      </c>
      <c r="L90" t="str">
        <f t="shared" si="3"/>
        <v/>
      </c>
      <c r="M90" t="str">
        <f t="shared" si="4"/>
        <v/>
      </c>
    </row>
    <row r="91" spans="1:13" x14ac:dyDescent="0.25">
      <c r="A91" s="2" t="s">
        <v>36</v>
      </c>
      <c r="B91" s="9" t="s">
        <v>147</v>
      </c>
      <c r="C91" s="2" t="s">
        <v>3</v>
      </c>
      <c r="D91" s="2" t="s">
        <v>0</v>
      </c>
      <c r="E91" s="9" t="s">
        <v>147</v>
      </c>
      <c r="F91" t="str">
        <f>IF(E91="Y", A91 &amp; IF(D91="Canada", " Canada", IF(D91="USA", " America", "")), A91)</f>
        <v>MTV America</v>
      </c>
      <c r="G91" s="13" t="s">
        <v>147</v>
      </c>
      <c r="H91" t="str" cm="1">
        <f t="array" ref="H91">IFERROR(INDEX($J$1:$J$104,MATCH(TRUE,ISNUMBER(SEARCH(TRIM(A91),TRIM($J$1:$J$104))),0)),"")</f>
        <v>MTV 2</v>
      </c>
      <c r="I91" cm="1">
        <f t="array" ref="I91">INDEX($J$1:$J$104, _xlfn.XMATCH(TRUE, _xlfn.BYROW($J$1:$J$104, _xlfn.LAMBDA(_xlpm.x, COUNTIF(F91,"*"&amp;_xlpm.x&amp;"*")&gt;0)), 0))</f>
        <v>0</v>
      </c>
      <c r="J91" s="7" t="s">
        <v>231</v>
      </c>
      <c r="L91" t="str">
        <f t="shared" si="3"/>
        <v>MTV America- East</v>
      </c>
      <c r="M91" t="str">
        <f t="shared" si="4"/>
        <v>MTV America- West</v>
      </c>
    </row>
    <row r="92" spans="1:13" x14ac:dyDescent="0.25">
      <c r="A92" s="2" t="s">
        <v>109</v>
      </c>
      <c r="B92" s="9"/>
      <c r="C92" s="2" t="s">
        <v>83</v>
      </c>
      <c r="D92" s="2" t="s">
        <v>80</v>
      </c>
      <c r="E92" s="9" t="s">
        <v>143</v>
      </c>
      <c r="F92" t="str">
        <f>IF(E92="yes", A92 &amp; IF(D92="Canada", " Canada", IF(D92="USA", " America", "")), A92)</f>
        <v>MTV Canada</v>
      </c>
      <c r="G92" s="13" t="s">
        <v>147</v>
      </c>
      <c r="H92" t="str" cm="1">
        <f t="array" ref="H92">IFERROR(INDEX($J$1:$J$104,MATCH(TRUE,ISNUMBER(SEARCH(TRIM(A92),TRIM($J$1:$J$104))),0)),"")</f>
        <v/>
      </c>
      <c r="I92" cm="1">
        <f t="array" ref="I92">INDEX($J$1:$J$104, _xlfn.XMATCH(TRUE, _xlfn.BYROW($J$1:$J$104, _xlfn.LAMBDA(_xlpm.x, COUNTIF(F92,"*"&amp;_xlpm.x&amp;"*")&gt;0)), 0))</f>
        <v>0</v>
      </c>
      <c r="J92" s="6" t="s">
        <v>177</v>
      </c>
      <c r="L92" t="str">
        <f t="shared" si="3"/>
        <v>MTV Canada- East</v>
      </c>
      <c r="M92" t="str">
        <f t="shared" si="4"/>
        <v>MTV Canada- West</v>
      </c>
    </row>
    <row r="93" spans="1:13" x14ac:dyDescent="0.25">
      <c r="A93" s="2" t="s">
        <v>108</v>
      </c>
      <c r="B93" s="9" t="s">
        <v>147</v>
      </c>
      <c r="C93" s="2" t="s">
        <v>86</v>
      </c>
      <c r="D93" s="2" t="s">
        <v>80</v>
      </c>
      <c r="E93" s="9" t="s">
        <v>147</v>
      </c>
      <c r="F93" t="str">
        <f>IF(E93="Y", A93 &amp; IF(D93="Canada", " Canada", IF(D93="USA", " America", "")), A93)</f>
        <v>Much Canada</v>
      </c>
      <c r="G93" s="13" t="s">
        <v>147</v>
      </c>
      <c r="H93" t="str" cm="1">
        <f t="array" ref="H93">IFERROR(INDEX($J$1:$J$104,MATCH(TRUE,ISNUMBER(SEARCH(TRIM(A93),TRIM($J$1:$J$104))),0)),"")</f>
        <v/>
      </c>
      <c r="I93" cm="1">
        <f t="array" ref="I93">INDEX($J$1:$J$104, _xlfn.XMATCH(TRUE, _xlfn.BYROW($J$1:$J$104, _xlfn.LAMBDA(_xlpm.x, COUNTIF(F93,"*"&amp;_xlpm.x&amp;"*")&gt;0)), 0))</f>
        <v>0</v>
      </c>
      <c r="J93" s="7" t="s">
        <v>18</v>
      </c>
      <c r="L93" t="str">
        <f t="shared" si="3"/>
        <v>Much Canada- East</v>
      </c>
      <c r="M93" t="str">
        <f t="shared" si="4"/>
        <v>Much Canada- West</v>
      </c>
    </row>
    <row r="94" spans="1:13" hidden="1" x14ac:dyDescent="0.25">
      <c r="A94" s="2" t="s">
        <v>35</v>
      </c>
      <c r="B94" s="9" t="s">
        <v>147</v>
      </c>
      <c r="C94" s="2" t="s">
        <v>33</v>
      </c>
      <c r="D94" s="2" t="s">
        <v>0</v>
      </c>
      <c r="E94" s="9" t="s">
        <v>147</v>
      </c>
      <c r="F94" t="str">
        <f>IF(E94="Y", A94 &amp; IF(D94="Canada", " Canada", IF(D94="USA", " America", "")), A94)</f>
        <v>Nat Geo Wild America</v>
      </c>
      <c r="H94" t="str" cm="1">
        <f t="array" ref="H94">IFERROR(INDEX($J$1:$J$104,MATCH(TRUE,ISNUMBER(SEARCH(TRIM(A94),TRIM($J$1:$J$104))),0)),"")</f>
        <v/>
      </c>
      <c r="I94" cm="1">
        <f t="array" ref="I94">INDEX($J$1:$J$104, _xlfn.XMATCH(TRUE, _xlfn.BYROW($J$1:$J$104, _xlfn.LAMBDA(_xlpm.x, COUNTIF(F94,"*"&amp;_xlpm.x&amp;"*")&gt;0)), 0))</f>
        <v>0</v>
      </c>
      <c r="J94" s="7" t="s">
        <v>232</v>
      </c>
      <c r="L94" t="str">
        <f t="shared" si="3"/>
        <v/>
      </c>
      <c r="M94" t="str">
        <f t="shared" si="4"/>
        <v/>
      </c>
    </row>
    <row r="95" spans="1:13" x14ac:dyDescent="0.25">
      <c r="A95" s="2" t="s">
        <v>34</v>
      </c>
      <c r="B95" s="9" t="s">
        <v>147</v>
      </c>
      <c r="C95" s="2" t="s">
        <v>33</v>
      </c>
      <c r="D95" s="2" t="s">
        <v>0</v>
      </c>
      <c r="E95" s="9" t="s">
        <v>147</v>
      </c>
      <c r="F95" t="str">
        <f>IF(E95="Y", A95 &amp; IF(D95="Canada", " Canada", IF(D95="USA", " America", "")), A95)</f>
        <v>National Geographic America</v>
      </c>
      <c r="G95" s="13" t="s">
        <v>147</v>
      </c>
      <c r="H95" t="str" cm="1">
        <f t="array" ref="H95">IFERROR(INDEX($J$1:$J$104,MATCH(TRUE,ISNUMBER(SEARCH(TRIM(A95),TRIM($J$1:$J$104))),0)),"")</f>
        <v>National Geographic USern</v>
      </c>
      <c r="I95" cm="1">
        <f t="array" ref="I95">INDEX($J$1:$J$104, _xlfn.XMATCH(TRUE, _xlfn.BYROW($J$1:$J$104, _xlfn.LAMBDA(_xlpm.x, COUNTIF(F95,"*"&amp;_xlpm.x&amp;"*")&gt;0)), 0))</f>
        <v>0</v>
      </c>
      <c r="J95" s="6" t="s">
        <v>233</v>
      </c>
      <c r="L95" t="str">
        <f t="shared" si="3"/>
        <v>National Geographic America- East</v>
      </c>
      <c r="M95" t="str">
        <f t="shared" si="4"/>
        <v>National Geographic America- West</v>
      </c>
    </row>
    <row r="96" spans="1:13" hidden="1" x14ac:dyDescent="0.25">
      <c r="A96" s="2" t="s">
        <v>107</v>
      </c>
      <c r="B96" s="9" t="s">
        <v>147</v>
      </c>
      <c r="C96" s="2" t="s">
        <v>83</v>
      </c>
      <c r="D96" s="2" t="s">
        <v>80</v>
      </c>
      <c r="E96" s="9" t="s">
        <v>143</v>
      </c>
      <c r="F96" t="str">
        <f>IF(E96="yes", A96 &amp; IF(D96="Canada", " Canada", IF(D96="USA", " America", "")), A96)</f>
        <v>National Geographic Canada</v>
      </c>
      <c r="H96" t="str" cm="1">
        <f t="array" ref="H96">IFERROR(INDEX($J$1:$J$104,MATCH(TRUE,ISNUMBER(SEARCH(TRIM(A96),TRIM($J$1:$J$104))),0)),"")</f>
        <v/>
      </c>
      <c r="I96" cm="1">
        <f t="array" ref="I96">INDEX($J$1:$J$104, _xlfn.XMATCH(TRUE, _xlfn.BYROW($J$1:$J$104, _xlfn.LAMBDA(_xlpm.x, COUNTIF(F96,"*"&amp;_xlpm.x&amp;"*")&gt;0)), 0))</f>
        <v>0</v>
      </c>
      <c r="J96" s="7" t="s">
        <v>178</v>
      </c>
      <c r="L96" t="str">
        <f t="shared" si="3"/>
        <v/>
      </c>
      <c r="M96" t="str">
        <f t="shared" si="4"/>
        <v/>
      </c>
    </row>
    <row r="97" spans="1:13" hidden="1" x14ac:dyDescent="0.25">
      <c r="A97" s="2" t="s">
        <v>32</v>
      </c>
      <c r="B97" s="9" t="s">
        <v>147</v>
      </c>
      <c r="C97" s="2" t="s">
        <v>5</v>
      </c>
      <c r="D97" s="2" t="s">
        <v>0</v>
      </c>
      <c r="E97" s="9" t="s">
        <v>143</v>
      </c>
      <c r="F97" t="str">
        <f>IF(E97="Y", A97 &amp; IF(D97="Canada", " Canada", IF(D97="USA", " America", "")), A97)</f>
        <v>NBC (local affiliates)</v>
      </c>
      <c r="H97" t="str" cm="1">
        <f t="array" ref="H97">IFERROR(INDEX($J$1:$J$104,MATCH(TRUE,ISNUMBER(SEARCH(TRIM(A97),TRIM($J$1:$J$104))),0)),"")</f>
        <v/>
      </c>
      <c r="I97" cm="1">
        <f t="array" ref="I97">INDEX($J$1:$J$104, _xlfn.XMATCH(TRUE, _xlfn.BYROW($J$1:$J$104, _xlfn.LAMBDA(_xlpm.x, COUNTIF(F97,"*"&amp;_xlpm.x&amp;"*")&gt;0)), 0))</f>
        <v>0</v>
      </c>
      <c r="J97" s="6" t="s">
        <v>234</v>
      </c>
      <c r="L97" t="str">
        <f t="shared" si="3"/>
        <v/>
      </c>
      <c r="M97" t="str">
        <f t="shared" si="4"/>
        <v/>
      </c>
    </row>
    <row r="98" spans="1:13" x14ac:dyDescent="0.25">
      <c r="A98" s="2" t="s">
        <v>31</v>
      </c>
      <c r="B98" s="9" t="s">
        <v>143</v>
      </c>
      <c r="C98" s="2" t="s">
        <v>3</v>
      </c>
      <c r="D98" s="2" t="s">
        <v>0</v>
      </c>
      <c r="E98" s="9" t="s">
        <v>147</v>
      </c>
      <c r="F98" t="str">
        <f>IF(E98="Y", A98 &amp; IF(D98="Canada", " Canada", IF(D98="USA", " America", "")), A98)</f>
        <v>Nickelodeon America</v>
      </c>
      <c r="G98" s="13" t="s">
        <v>147</v>
      </c>
      <c r="H98" t="str" cm="1">
        <f t="array" ref="H98">IFERROR(INDEX($J$1:$J$104,MATCH(TRUE,ISNUMBER(SEARCH(TRIM(A98),TRIM($J$1:$J$104))),0)),"")</f>
        <v>Nickelodeon USA Feed</v>
      </c>
      <c r="I98" cm="1">
        <f t="array" ref="I98">INDEX($J$1:$J$104, _xlfn.XMATCH(TRUE, _xlfn.BYROW($J$1:$J$104, _xlfn.LAMBDA(_xlpm.x, COUNTIF(F98,"*"&amp;_xlpm.x&amp;"*")&gt;0)), 0))</f>
        <v>0</v>
      </c>
      <c r="J98" s="6" t="s">
        <v>13</v>
      </c>
      <c r="L98" t="str">
        <f t="shared" si="3"/>
        <v>Nickelodeon America- East</v>
      </c>
      <c r="M98" t="str">
        <f t="shared" si="4"/>
        <v>Nickelodeon America- West</v>
      </c>
    </row>
    <row r="99" spans="1:13" x14ac:dyDescent="0.25">
      <c r="A99" s="2" t="s">
        <v>31</v>
      </c>
      <c r="B99" s="9" t="s">
        <v>143</v>
      </c>
      <c r="C99" s="2" t="s">
        <v>83</v>
      </c>
      <c r="D99" s="2" t="s">
        <v>80</v>
      </c>
      <c r="E99" s="9" t="s">
        <v>147</v>
      </c>
      <c r="F99" t="str">
        <f>IF(E99="Y", A99 &amp; IF(D99="Canada", " Canada", IF(D99="USA", " America", "")), A99)</f>
        <v>Nickelodeon Canada</v>
      </c>
      <c r="G99" s="13" t="s">
        <v>147</v>
      </c>
      <c r="H99" t="str" cm="1">
        <f t="array" ref="H99">IFERROR(INDEX($J$1:$J$104,MATCH(TRUE,ISNUMBER(SEARCH(TRIM(A99),TRIM($J$1:$J$104))),0)),"")</f>
        <v>Nickelodeon USA Feed</v>
      </c>
      <c r="I99" cm="1">
        <f t="array" ref="I99">INDEX($J$1:$J$104, _xlfn.XMATCH(TRUE, _xlfn.BYROW($J$1:$J$104, _xlfn.LAMBDA(_xlpm.x, COUNTIF(F99,"*"&amp;_xlpm.x&amp;"*")&gt;0)), 0))</f>
        <v>0</v>
      </c>
      <c r="J99" s="7" t="s">
        <v>235</v>
      </c>
      <c r="L99" t="str">
        <f t="shared" si="3"/>
        <v>Nickelodeon Canada- East</v>
      </c>
      <c r="M99" t="str">
        <f t="shared" si="4"/>
        <v>Nickelodeon Canada- West</v>
      </c>
    </row>
    <row r="100" spans="1:13" hidden="1" x14ac:dyDescent="0.25">
      <c r="A100" s="2" t="s">
        <v>106</v>
      </c>
      <c r="B100" s="9" t="s">
        <v>143</v>
      </c>
      <c r="C100" s="2" t="s">
        <v>86</v>
      </c>
      <c r="D100" s="2" t="s">
        <v>80</v>
      </c>
      <c r="E100" s="9" t="s">
        <v>143</v>
      </c>
      <c r="F100" t="str">
        <f>IF(E100="Y", A100 &amp; IF(D100="Canada", " Canada", IF(D100="USA", " America", "")), A100)</f>
        <v>Noovo (local stations)</v>
      </c>
      <c r="H100" t="str" cm="1">
        <f t="array" ref="H100">IFERROR(INDEX($J$1:$J$104,MATCH(TRUE,ISNUMBER(SEARCH(TRIM(A100),TRIM($J$1:$J$104))),0)),"")</f>
        <v/>
      </c>
      <c r="I100" cm="1">
        <f t="array" ref="I100">INDEX($J$1:$J$104, _xlfn.XMATCH(TRUE, _xlfn.BYROW($J$1:$J$104, _xlfn.LAMBDA(_xlpm.x, COUNTIF(F100,"*"&amp;_xlpm.x&amp;"*")&gt;0)), 0))</f>
        <v>0</v>
      </c>
      <c r="J100" s="6" t="s">
        <v>236</v>
      </c>
      <c r="L100" t="str">
        <f t="shared" si="3"/>
        <v/>
      </c>
      <c r="M100" t="str">
        <f t="shared" si="4"/>
        <v/>
      </c>
    </row>
    <row r="101" spans="1:13" hidden="1" x14ac:dyDescent="0.25">
      <c r="A101" s="2" t="s">
        <v>105</v>
      </c>
      <c r="B101" s="9" t="s">
        <v>147</v>
      </c>
      <c r="C101" s="2" t="s">
        <v>93</v>
      </c>
      <c r="D101" s="2" t="s">
        <v>80</v>
      </c>
      <c r="E101" s="9" t="s">
        <v>143</v>
      </c>
      <c r="F101" t="str">
        <f>IF(E101="Y", A101 &amp; IF(D101="Canada", " Canada", IF(D101="USA", " America", "")), A101)</f>
        <v>OMNI</v>
      </c>
      <c r="H101" t="str" cm="1">
        <f t="array" ref="H101">IFERROR(INDEX($J$1:$J$104,MATCH(TRUE,ISNUMBER(SEARCH(TRIM(A101),TRIM($J$1:$J$104))),0)),"")</f>
        <v/>
      </c>
      <c r="I101" cm="1">
        <f t="array" ref="I101">INDEX($J$1:$J$104, _xlfn.XMATCH(TRUE, _xlfn.BYROW($J$1:$J$104, _xlfn.LAMBDA(_xlpm.x, COUNTIF(F101,"*"&amp;_xlpm.x&amp;"*")&gt;0)), 0))</f>
        <v>0</v>
      </c>
      <c r="J101" s="7" t="s">
        <v>179</v>
      </c>
      <c r="L101" t="str">
        <f t="shared" si="3"/>
        <v/>
      </c>
      <c r="M101" t="str">
        <f t="shared" si="4"/>
        <v/>
      </c>
    </row>
    <row r="102" spans="1:13" x14ac:dyDescent="0.25">
      <c r="A102" s="2" t="s">
        <v>30</v>
      </c>
      <c r="B102" s="9" t="s">
        <v>147</v>
      </c>
      <c r="C102" s="2" t="s">
        <v>5</v>
      </c>
      <c r="D102" s="2" t="s">
        <v>0</v>
      </c>
      <c r="E102" s="9" t="s">
        <v>147</v>
      </c>
      <c r="F102" t="str">
        <f>IF(E102="Y", A102 &amp; IF(D102="Canada", " Canada", IF(D102="USA", " America", "")), A102)</f>
        <v>Oxygen America</v>
      </c>
      <c r="G102" s="13" t="s">
        <v>147</v>
      </c>
      <c r="H102" t="str" cm="1">
        <f t="array" ref="H102">IFERROR(INDEX($J$1:$J$104,MATCH(TRUE,ISNUMBER(SEARCH(TRIM(A102),TRIM($J$1:$J$104))),0)),"")</f>
        <v>Oxygen True Crime</v>
      </c>
      <c r="I102" cm="1">
        <f t="array" ref="I102">INDEX($J$1:$J$104, _xlfn.XMATCH(TRUE, _xlfn.BYROW($J$1:$J$104, _xlfn.LAMBDA(_xlpm.x, COUNTIF(F102,"*"&amp;_xlpm.x&amp;"*")&gt;0)), 0))</f>
        <v>0</v>
      </c>
      <c r="J102" s="6" t="s">
        <v>237</v>
      </c>
      <c r="L102" t="str">
        <f t="shared" si="3"/>
        <v>Oxygen America- East</v>
      </c>
      <c r="M102" t="str">
        <f t="shared" si="4"/>
        <v>Oxygen America- West</v>
      </c>
    </row>
    <row r="103" spans="1:13" x14ac:dyDescent="0.25">
      <c r="A103" s="2" t="s">
        <v>104</v>
      </c>
      <c r="B103" s="9" t="s">
        <v>147</v>
      </c>
      <c r="C103" s="2" t="s">
        <v>86</v>
      </c>
      <c r="D103" s="2" t="s">
        <v>80</v>
      </c>
      <c r="E103" s="9" t="s">
        <v>147</v>
      </c>
      <c r="F103" t="str">
        <f>IF(E103="Y", A103 &amp; IF(D103="Canada", " Canada", IF(D103="USA", " America", "")), A103)</f>
        <v>Oxygen True Crime Canada</v>
      </c>
      <c r="G103" s="13" t="s">
        <v>147</v>
      </c>
      <c r="H103" t="str" cm="1">
        <f t="array" ref="H103">IFERROR(INDEX($J$1:$J$104,MATCH(TRUE,ISNUMBER(SEARCH(TRIM(A103),TRIM($J$1:$J$104))),0)),"")</f>
        <v>Oxygen True Crime</v>
      </c>
      <c r="I103" cm="1">
        <f t="array" ref="I103">INDEX($J$1:$J$104, _xlfn.XMATCH(TRUE, _xlfn.BYROW($J$1:$J$104, _xlfn.LAMBDA(_xlpm.x, COUNTIF(F103,"*"&amp;_xlpm.x&amp;"*")&gt;0)), 0))</f>
        <v>0</v>
      </c>
      <c r="J103" s="7" t="s">
        <v>4</v>
      </c>
      <c r="L103" t="str">
        <f t="shared" si="3"/>
        <v>Oxygen True Crime Canada- East</v>
      </c>
      <c r="M103" t="str">
        <f t="shared" si="4"/>
        <v>Oxygen True Crime Canada- West</v>
      </c>
    </row>
    <row r="104" spans="1:13" hidden="1" x14ac:dyDescent="0.25">
      <c r="A104" s="4" t="s">
        <v>103</v>
      </c>
      <c r="B104" s="9" t="s">
        <v>147</v>
      </c>
      <c r="C104" s="2" t="s">
        <v>86</v>
      </c>
      <c r="D104" s="2" t="s">
        <v>80</v>
      </c>
      <c r="E104" s="9" t="s">
        <v>147</v>
      </c>
      <c r="F104" t="str">
        <f>IF(E104="Y", A104 &amp; IF(D104="Canada", " Canada", IF(D104="USA", " America", "")), A104)</f>
        <v>Oxygen. Canada</v>
      </c>
      <c r="H104" t="str" cm="1">
        <f t="array" ref="H104">IFERROR(INDEX($J$1:$J$104,MATCH(TRUE,ISNUMBER(SEARCH(TRIM(A104),TRIM($J$1:$J$104))),0)),"")</f>
        <v/>
      </c>
      <c r="I104" cm="1">
        <f t="array" ref="I104">INDEX($J$1:$J$104, _xlfn.XMATCH(TRUE, _xlfn.BYROW($J$1:$J$104, _xlfn.LAMBDA(_xlpm.x, COUNTIF(F104,"*"&amp;_xlpm.x&amp;"*")&gt;0)), 0))</f>
        <v>0</v>
      </c>
      <c r="J104" s="7" t="s">
        <v>238</v>
      </c>
      <c r="L104" t="str">
        <f t="shared" si="3"/>
        <v/>
      </c>
      <c r="M104" t="str">
        <f t="shared" si="4"/>
        <v/>
      </c>
    </row>
    <row r="105" spans="1:13" x14ac:dyDescent="0.25">
      <c r="A105" s="2" t="s">
        <v>29</v>
      </c>
      <c r="B105" s="9" t="s">
        <v>147</v>
      </c>
      <c r="C105" s="2" t="s">
        <v>3</v>
      </c>
      <c r="D105" s="2" t="s">
        <v>0</v>
      </c>
      <c r="E105" s="9" t="s">
        <v>147</v>
      </c>
      <c r="F105" t="str">
        <f>IF(E105="Y", A105 &amp; IF(D105="Canada", " Canada", IF(D105="USA", " America", "")), A105)</f>
        <v>Paramount Network America</v>
      </c>
      <c r="G105" s="13" t="s">
        <v>147</v>
      </c>
      <c r="H105" t="str" cm="1">
        <f t="array" ref="H105">IFERROR(INDEX($J$1:$J$104,MATCH(TRUE,ISNUMBER(SEARCH(TRIM(A105),TRIM($J$1:$J$104))),0)),"")</f>
        <v>Paramount Network USA</v>
      </c>
      <c r="I105" cm="1">
        <f t="array" ref="I105">INDEX($J$1:$J$104, _xlfn.XMATCH(TRUE, _xlfn.BYROW($J$1:$J$104, _xlfn.LAMBDA(_xlpm.x, COUNTIF(F105,"*"&amp;_xlpm.x&amp;"*")&gt;0)), 0))</f>
        <v>0</v>
      </c>
      <c r="L105" t="str">
        <f t="shared" si="3"/>
        <v>Paramount Network America- East</v>
      </c>
      <c r="M105" t="str">
        <f t="shared" si="4"/>
        <v>Paramount Network America- West</v>
      </c>
    </row>
    <row r="106" spans="1:13" hidden="1" x14ac:dyDescent="0.25">
      <c r="A106" s="2" t="s">
        <v>28</v>
      </c>
      <c r="B106" s="9" t="s">
        <v>147</v>
      </c>
      <c r="C106" s="2" t="s">
        <v>27</v>
      </c>
      <c r="D106" s="2" t="s">
        <v>0</v>
      </c>
      <c r="E106" s="9" t="s">
        <v>143</v>
      </c>
      <c r="F106" t="str">
        <f>IF(E106="Y", A106 &amp; IF(D106="Canada", " Canada", IF(D106="USA", " America", "")), A106)</f>
        <v>PBS (member stations)</v>
      </c>
      <c r="H106" t="str" cm="1">
        <f t="array" ref="H106">IFERROR(INDEX($J$1:$J$104,MATCH(TRUE,ISNUMBER(SEARCH(TRIM(A106),TRIM($J$1:$J$104))),0)),"")</f>
        <v/>
      </c>
      <c r="I106" cm="1">
        <f t="array" ref="I106">INDEX($J$1:$J$104, _xlfn.XMATCH(TRUE, _xlfn.BYROW($J$1:$J$104, _xlfn.LAMBDA(_xlpm.x, COUNTIF(F106,"*"&amp;_xlpm.x&amp;"*")&gt;0)), 0))</f>
        <v>0</v>
      </c>
      <c r="L106" t="str">
        <f t="shared" si="3"/>
        <v/>
      </c>
      <c r="M106" t="str">
        <f t="shared" si="4"/>
        <v/>
      </c>
    </row>
    <row r="107" spans="1:13" hidden="1" x14ac:dyDescent="0.25">
      <c r="A107" s="2" t="s">
        <v>26</v>
      </c>
      <c r="B107" s="9" t="s">
        <v>147</v>
      </c>
      <c r="C107" s="2" t="s">
        <v>25</v>
      </c>
      <c r="D107" s="2" t="s">
        <v>0</v>
      </c>
      <c r="E107" s="9" t="s">
        <v>143</v>
      </c>
      <c r="F107" t="str">
        <f>IF(E107="Y", A107 &amp; IF(D107="Canada", " Canada", IF(D107="USA", " America", "")), A107)</f>
        <v>Peachtree</v>
      </c>
      <c r="H107" t="str" cm="1">
        <f t="array" ref="H107">IFERROR(INDEX($J$1:$J$104,MATCH(TRUE,ISNUMBER(SEARCH(TRIM(A107),TRIM($J$1:$J$104))),0)),"")</f>
        <v/>
      </c>
      <c r="I107" cm="1">
        <f t="array" ref="I107">INDEX($J$1:$J$104, _xlfn.XMATCH(TRUE, _xlfn.BYROW($J$1:$J$104, _xlfn.LAMBDA(_xlpm.x, COUNTIF(F107,"*"&amp;_xlpm.x&amp;"*")&gt;0)), 0))</f>
        <v>0</v>
      </c>
      <c r="L107" t="str">
        <f t="shared" si="3"/>
        <v/>
      </c>
      <c r="M107" t="str">
        <f t="shared" si="4"/>
        <v/>
      </c>
    </row>
    <row r="108" spans="1:13" hidden="1" x14ac:dyDescent="0.25">
      <c r="A108" s="2" t="s">
        <v>24</v>
      </c>
      <c r="B108" s="9" t="s">
        <v>147</v>
      </c>
      <c r="C108" s="2" t="s">
        <v>5</v>
      </c>
      <c r="D108" s="2" t="s">
        <v>0</v>
      </c>
      <c r="E108" s="9" t="s">
        <v>143</v>
      </c>
      <c r="F108" t="str">
        <f>IF(E108="Y", A108 &amp; IF(D108="Canada", " Canada", IF(D108="USA", " America", "")), A108)</f>
        <v>Peacock</v>
      </c>
      <c r="H108" t="str" cm="1">
        <f t="array" ref="H108">IFERROR(INDEX($J$1:$J$104,MATCH(TRUE,ISNUMBER(SEARCH(TRIM(A108),TRIM($J$1:$J$104))),0)),"")</f>
        <v/>
      </c>
      <c r="I108" cm="1">
        <f t="array" ref="I108">INDEX($J$1:$J$104, _xlfn.XMATCH(TRUE, _xlfn.BYROW($J$1:$J$104, _xlfn.LAMBDA(_xlpm.x, COUNTIF(F108,"*"&amp;_xlpm.x&amp;"*")&gt;0)), 0))</f>
        <v>0</v>
      </c>
      <c r="L108" t="str">
        <f t="shared" si="3"/>
        <v/>
      </c>
      <c r="M108" t="str">
        <f t="shared" si="4"/>
        <v/>
      </c>
    </row>
    <row r="109" spans="1:13" hidden="1" x14ac:dyDescent="0.25">
      <c r="A109" s="2" t="s">
        <v>102</v>
      </c>
      <c r="B109" s="9" t="s">
        <v>143</v>
      </c>
      <c r="C109" s="2" t="s">
        <v>81</v>
      </c>
      <c r="D109" s="2" t="s">
        <v>80</v>
      </c>
      <c r="E109" s="9" t="s">
        <v>143</v>
      </c>
      <c r="F109" t="str">
        <f>IF(E109="Y", A109 &amp; IF(D109="Canada", " Canada", IF(D109="USA", " America", "")), A109)</f>
        <v>Prise 2</v>
      </c>
      <c r="H109" t="str" cm="1">
        <f t="array" ref="H109">IFERROR(INDEX($J$1:$J$104,MATCH(TRUE,ISNUMBER(SEARCH(TRIM(A109),TRIM($J$1:$J$104))),0)),"")</f>
        <v/>
      </c>
      <c r="I109" cm="1">
        <f t="array" ref="I109">INDEX($J$1:$J$104, _xlfn.XMATCH(TRUE, _xlfn.BYROW($J$1:$J$104, _xlfn.LAMBDA(_xlpm.x, COUNTIF(F109,"*"&amp;_xlpm.x&amp;"*")&gt;0)), 0))</f>
        <v>0</v>
      </c>
      <c r="L109" t="str">
        <f t="shared" si="3"/>
        <v/>
      </c>
      <c r="M109" t="str">
        <f t="shared" si="4"/>
        <v/>
      </c>
    </row>
    <row r="110" spans="1:13" hidden="1" x14ac:dyDescent="0.25">
      <c r="A110" s="2" t="s">
        <v>101</v>
      </c>
      <c r="B110" s="9" t="s">
        <v>143</v>
      </c>
      <c r="C110" s="2" t="s">
        <v>81</v>
      </c>
      <c r="D110" s="2" t="s">
        <v>80</v>
      </c>
      <c r="E110" s="9" t="s">
        <v>143</v>
      </c>
      <c r="F110" t="str">
        <f>IF(E110="Y", A110 &amp; IF(D110="Canada", " Canada", IF(D110="USA", " America", "")), A110)</f>
        <v>QUB</v>
      </c>
      <c r="H110" t="str" cm="1">
        <f t="array" ref="H110">IFERROR(INDEX($J$1:$J$104,MATCH(TRUE,ISNUMBER(SEARCH(TRIM(A110),TRIM($J$1:$J$104))),0)),"")</f>
        <v/>
      </c>
      <c r="I110" cm="1">
        <f t="array" ref="I110">INDEX($J$1:$J$104, _xlfn.XMATCH(TRUE, _xlfn.BYROW($J$1:$J$104, _xlfn.LAMBDA(_xlpm.x, COUNTIF(F110,"*"&amp;_xlpm.x&amp;"*")&gt;0)), 0))</f>
        <v>0</v>
      </c>
      <c r="L110" t="str">
        <f t="shared" si="3"/>
        <v/>
      </c>
      <c r="M110" t="str">
        <f t="shared" si="4"/>
        <v/>
      </c>
    </row>
    <row r="111" spans="1:13" hidden="1" x14ac:dyDescent="0.25">
      <c r="A111" s="2" t="s">
        <v>100</v>
      </c>
      <c r="B111" s="9" t="s">
        <v>147</v>
      </c>
      <c r="C111" s="2" t="s">
        <v>86</v>
      </c>
      <c r="D111" s="2" t="s">
        <v>80</v>
      </c>
      <c r="E111" s="9" t="s">
        <v>147</v>
      </c>
      <c r="F111" t="str">
        <f>IF(E111="Y", A111 &amp; IF(D111="Canada", " Canada", IF(D111="USA", " America", "")), A111)</f>
        <v>RDS Canada</v>
      </c>
      <c r="H111" t="str" cm="1">
        <f t="array" ref="H111">IFERROR(INDEX($J$1:$J$104,MATCH(TRUE,ISNUMBER(SEARCH(TRIM(A111),TRIM($J$1:$J$104))),0)),"")</f>
        <v/>
      </c>
      <c r="I111" cm="1">
        <f t="array" ref="I111">INDEX($J$1:$J$104, _xlfn.XMATCH(TRUE, _xlfn.BYROW($J$1:$J$104, _xlfn.LAMBDA(_xlpm.x, COUNTIF(F111,"*"&amp;_xlpm.x&amp;"*")&gt;0)), 0))</f>
        <v>0</v>
      </c>
      <c r="L111" t="str">
        <f t="shared" si="3"/>
        <v/>
      </c>
      <c r="M111" t="str">
        <f t="shared" si="4"/>
        <v/>
      </c>
    </row>
    <row r="112" spans="1:13" x14ac:dyDescent="0.25">
      <c r="A112" s="2" t="s">
        <v>99</v>
      </c>
      <c r="B112" s="9" t="s">
        <v>147</v>
      </c>
      <c r="C112" s="2" t="s">
        <v>83</v>
      </c>
      <c r="D112" s="2" t="s">
        <v>80</v>
      </c>
      <c r="E112" s="9" t="s">
        <v>147</v>
      </c>
      <c r="F112" t="str">
        <f>IF(E112="Y", A112 &amp; IF(D112="Canada", " Canada", IF(D112="USA", " America", "")), A112)</f>
        <v>Showcase Canada</v>
      </c>
      <c r="G112" s="13" t="s">
        <v>147</v>
      </c>
      <c r="H112" t="str" cm="1">
        <f t="array" ref="H112">IFERROR(INDEX($J$1:$J$104,MATCH(TRUE,ISNUMBER(SEARCH(TRIM(A112),TRIM($J$1:$J$104))),0)),"")</f>
        <v>Showtime Showcaseern</v>
      </c>
      <c r="I112" cm="1">
        <f t="array" ref="I112">INDEX($J$1:$J$104, _xlfn.XMATCH(TRUE, _xlfn.BYROW($J$1:$J$104, _xlfn.LAMBDA(_xlpm.x, COUNTIF(F112,"*"&amp;_xlpm.x&amp;"*")&gt;0)), 0))</f>
        <v>0</v>
      </c>
      <c r="L112" t="str">
        <f t="shared" si="3"/>
        <v>Showcase Canada- East</v>
      </c>
      <c r="M112" t="str">
        <f t="shared" si="4"/>
        <v>Showcase Canada- West</v>
      </c>
    </row>
    <row r="113" spans="1:13" x14ac:dyDescent="0.25">
      <c r="A113" s="2" t="s">
        <v>23</v>
      </c>
      <c r="B113" s="9" t="s">
        <v>147</v>
      </c>
      <c r="C113" s="2" t="s">
        <v>3</v>
      </c>
      <c r="D113" s="2" t="s">
        <v>0</v>
      </c>
      <c r="E113" s="9" t="s">
        <v>147</v>
      </c>
      <c r="F113" t="str">
        <f>IF(E113="Y", A113 &amp; IF(D113="Canada", " Canada", IF(D113="USA", " America", "")), A113)</f>
        <v>Showtime America</v>
      </c>
      <c r="G113" s="13" t="s">
        <v>147</v>
      </c>
      <c r="H113" t="str" cm="1">
        <f t="array" ref="H113">IFERROR(INDEX($J$1:$J$104,MATCH(TRUE,ISNUMBER(SEARCH(TRIM(A113),TRIM($J$1:$J$104))),0)),"")</f>
        <v>Paramount+ with Showtime</v>
      </c>
      <c r="I113" cm="1">
        <f t="array" ref="I113">INDEX($J$1:$J$104, _xlfn.XMATCH(TRUE, _xlfn.BYROW($J$1:$J$104, _xlfn.LAMBDA(_xlpm.x, COUNTIF(F113,"*"&amp;_xlpm.x&amp;"*")&gt;0)), 0))</f>
        <v>0</v>
      </c>
      <c r="L113" t="str">
        <f t="shared" si="3"/>
        <v>Showtime America- East</v>
      </c>
      <c r="M113" t="str">
        <f t="shared" si="4"/>
        <v>Showtime America- West</v>
      </c>
    </row>
    <row r="114" spans="1:13" hidden="1" x14ac:dyDescent="0.25">
      <c r="A114" s="2" t="s">
        <v>98</v>
      </c>
      <c r="B114" s="9" t="s">
        <v>147</v>
      </c>
      <c r="C114" s="2" t="s">
        <v>83</v>
      </c>
      <c r="D114" s="2" t="s">
        <v>80</v>
      </c>
      <c r="E114" s="9" t="s">
        <v>143</v>
      </c>
      <c r="F114" t="str">
        <f>IF(E114="yes", A114 &amp; IF(D114="Canada", " Canada", IF(D114="USA", " America", "")), A114)</f>
        <v>Showtime Canada</v>
      </c>
      <c r="H114" t="str" cm="1">
        <f t="array" ref="H114">IFERROR(INDEX($J$1:$J$104,MATCH(TRUE,ISNUMBER(SEARCH(TRIM(A114),TRIM($J$1:$J$104))),0)),"")</f>
        <v/>
      </c>
      <c r="I114" cm="1">
        <f t="array" ref="I114">INDEX($J$1:$J$104, _xlfn.XMATCH(TRUE, _xlfn.BYROW($J$1:$J$104, _xlfn.LAMBDA(_xlpm.x, COUNTIF(F114,"*"&amp;_xlpm.x&amp;"*")&gt;0)), 0))</f>
        <v>0</v>
      </c>
      <c r="L114" t="str">
        <f t="shared" si="3"/>
        <v/>
      </c>
      <c r="M114" t="str">
        <f t="shared" si="4"/>
        <v/>
      </c>
    </row>
    <row r="115" spans="1:13" hidden="1" x14ac:dyDescent="0.25">
      <c r="A115" s="2" t="s">
        <v>97</v>
      </c>
      <c r="B115" s="9" t="s">
        <v>147</v>
      </c>
      <c r="C115" s="2" t="s">
        <v>83</v>
      </c>
      <c r="D115" s="2" t="s">
        <v>0</v>
      </c>
      <c r="E115" s="9" t="s">
        <v>147</v>
      </c>
      <c r="F115" t="str">
        <f>IF(E115="Y", A115 &amp; IF(D115="Canada", " Canada", IF(D115="USA", " America", "")), A115)</f>
        <v>Slice America</v>
      </c>
      <c r="H115" t="str" cm="1">
        <f t="array" ref="H115">IFERROR(INDEX($J$1:$J$104,MATCH(TRUE,ISNUMBER(SEARCH(TRIM(A115),TRIM($J$1:$J$104))),0)),"")</f>
        <v/>
      </c>
      <c r="I115" cm="1">
        <f t="array" ref="I115">INDEX($J$1:$J$104, _xlfn.XMATCH(TRUE, _xlfn.BYROW($J$1:$J$104, _xlfn.LAMBDA(_xlpm.x, COUNTIF(F115,"*"&amp;_xlpm.x&amp;"*")&gt;0)), 0))</f>
        <v>0</v>
      </c>
      <c r="L115" t="str">
        <f t="shared" si="3"/>
        <v/>
      </c>
      <c r="M115" t="str">
        <f t="shared" si="4"/>
        <v/>
      </c>
    </row>
    <row r="116" spans="1:13" hidden="1" x14ac:dyDescent="0.25">
      <c r="A116" s="2" t="s">
        <v>97</v>
      </c>
      <c r="B116" s="9" t="s">
        <v>147</v>
      </c>
      <c r="C116" s="2" t="s">
        <v>83</v>
      </c>
      <c r="D116" s="2" t="s">
        <v>80</v>
      </c>
      <c r="E116" s="9" t="s">
        <v>147</v>
      </c>
      <c r="F116" t="str">
        <f>IF(E116="Y", A116 &amp; IF(D116="Canada", " Canada", IF(D116="USA", " America", "")), A116)</f>
        <v>Slice Canada</v>
      </c>
      <c r="H116" t="str" cm="1">
        <f t="array" ref="H116">IFERROR(INDEX($J$1:$J$104,MATCH(TRUE,ISNUMBER(SEARCH(TRIM(A116),TRIM($J$1:$J$104))),0)),"")</f>
        <v/>
      </c>
      <c r="I116" cm="1">
        <f t="array" ref="I116">INDEX($J$1:$J$104, _xlfn.XMATCH(TRUE, _xlfn.BYROW($J$1:$J$104, _xlfn.LAMBDA(_xlpm.x, COUNTIF(F116,"*"&amp;_xlpm.x&amp;"*")&gt;0)), 0))</f>
        <v>0</v>
      </c>
      <c r="L116" t="str">
        <f t="shared" si="3"/>
        <v/>
      </c>
      <c r="M116" t="str">
        <f t="shared" si="4"/>
        <v/>
      </c>
    </row>
    <row r="117" spans="1:13" hidden="1" x14ac:dyDescent="0.25">
      <c r="A117" s="2" t="s">
        <v>22</v>
      </c>
      <c r="B117" s="9" t="s">
        <v>147</v>
      </c>
      <c r="C117" s="2" t="s">
        <v>3</v>
      </c>
      <c r="D117" s="2" t="s">
        <v>0</v>
      </c>
      <c r="E117" s="9" t="s">
        <v>147</v>
      </c>
      <c r="F117" t="str">
        <f>IF(E117="Y", A117 &amp; IF(D117="Canada", " Canada", IF(D117="USA", " America", "")), A117)</f>
        <v>Smithsonian Channel America</v>
      </c>
      <c r="H117" t="str" cm="1">
        <f t="array" ref="H117">IFERROR(INDEX($J$1:$J$104,MATCH(TRUE,ISNUMBER(SEARCH(TRIM(A117),TRIM($J$1:$J$104))),0)),"")</f>
        <v/>
      </c>
      <c r="I117" cm="1">
        <f t="array" ref="I117">INDEX($J$1:$J$104, _xlfn.XMATCH(TRUE, _xlfn.BYROW($J$1:$J$104, _xlfn.LAMBDA(_xlpm.x, COUNTIF(F117,"*"&amp;_xlpm.x&amp;"*")&gt;0)), 0))</f>
        <v>0</v>
      </c>
      <c r="L117" t="str">
        <f t="shared" si="3"/>
        <v/>
      </c>
      <c r="M117" t="str">
        <f t="shared" si="4"/>
        <v/>
      </c>
    </row>
    <row r="118" spans="1:13" hidden="1" x14ac:dyDescent="0.25">
      <c r="A118" s="2" t="s">
        <v>96</v>
      </c>
      <c r="B118" s="9" t="s">
        <v>147</v>
      </c>
      <c r="C118" s="2" t="s">
        <v>93</v>
      </c>
      <c r="D118" s="2" t="s">
        <v>80</v>
      </c>
      <c r="E118" s="9" t="s">
        <v>143</v>
      </c>
      <c r="F118" t="str">
        <f>IF(E118="Y", A118 &amp; IF(D118="Canada", " Canada", IF(D118="USA", " America", "")), A118)</f>
        <v>Sportsnet (channels)</v>
      </c>
      <c r="H118" t="str" cm="1">
        <f t="array" ref="H118">IFERROR(INDEX($J$1:$J$104,MATCH(TRUE,ISNUMBER(SEARCH(TRIM(A118),TRIM($J$1:$J$104))),0)),"")</f>
        <v/>
      </c>
      <c r="I118" cm="1">
        <f t="array" ref="I118">INDEX($J$1:$J$104, _xlfn.XMATCH(TRUE, _xlfn.BYROW($J$1:$J$104, _xlfn.LAMBDA(_xlpm.x, COUNTIF(F118,"*"&amp;_xlpm.x&amp;"*")&gt;0)), 0))</f>
        <v>0</v>
      </c>
      <c r="L118" t="str">
        <f t="shared" si="3"/>
        <v/>
      </c>
      <c r="M118" t="str">
        <f t="shared" si="4"/>
        <v/>
      </c>
    </row>
    <row r="119" spans="1:13" hidden="1" x14ac:dyDescent="0.25">
      <c r="A119" s="3" t="s">
        <v>95</v>
      </c>
      <c r="B119" s="9" t="s">
        <v>147</v>
      </c>
      <c r="C119" s="2" t="s">
        <v>93</v>
      </c>
      <c r="D119" s="2" t="s">
        <v>80</v>
      </c>
      <c r="E119" s="9" t="s">
        <v>143</v>
      </c>
      <c r="F119" t="str">
        <f>IF(E119="Y", A119 &amp; IF(D119="Canada", " Canada", IF(D119="USA", " America", "")), A119)</f>
        <v>Sportsnet channels</v>
      </c>
      <c r="H119" t="str" cm="1">
        <f t="array" ref="H119">IFERROR(INDEX($J$1:$J$104,MATCH(TRUE,ISNUMBER(SEARCH(TRIM(A119),TRIM($J$1:$J$104))),0)),"")</f>
        <v/>
      </c>
      <c r="I119" cm="1">
        <f t="array" ref="I119">INDEX($J$1:$J$104, _xlfn.XMATCH(TRUE, _xlfn.BYROW($J$1:$J$104, _xlfn.LAMBDA(_xlpm.x, COUNTIF(F119,"*"&amp;_xlpm.x&amp;"*")&gt;0)), 0))</f>
        <v>0</v>
      </c>
      <c r="L119" t="str">
        <f t="shared" si="3"/>
        <v/>
      </c>
      <c r="M119" t="str">
        <f t="shared" si="4"/>
        <v/>
      </c>
    </row>
    <row r="120" spans="1:13" hidden="1" x14ac:dyDescent="0.25">
      <c r="A120" s="2" t="s">
        <v>94</v>
      </c>
      <c r="B120" s="9" t="s">
        <v>147</v>
      </c>
      <c r="C120" s="2" t="s">
        <v>93</v>
      </c>
      <c r="D120" s="2" t="s">
        <v>80</v>
      </c>
      <c r="E120" s="9" t="s">
        <v>143</v>
      </c>
      <c r="F120" t="str">
        <f>IF(E120="Y", A120 &amp; IF(D120="Canada", " Canada", IF(D120="USA", " America", "")), A120)</f>
        <v>Sportsnet One/360/World</v>
      </c>
      <c r="H120" t="str" cm="1">
        <f t="array" ref="H120">IFERROR(INDEX($J$1:$J$104,MATCH(TRUE,ISNUMBER(SEARCH(TRIM(A120),TRIM($J$1:$J$104))),0)),"")</f>
        <v/>
      </c>
      <c r="I120" cm="1">
        <f t="array" ref="I120">INDEX($J$1:$J$104, _xlfn.XMATCH(TRUE, _xlfn.BYROW($J$1:$J$104, _xlfn.LAMBDA(_xlpm.x, COUNTIF(F120,"*"&amp;_xlpm.x&amp;"*")&gt;0)), 0))</f>
        <v>0</v>
      </c>
      <c r="L120" t="str">
        <f t="shared" si="3"/>
        <v/>
      </c>
      <c r="M120" t="str">
        <f t="shared" si="4"/>
        <v/>
      </c>
    </row>
    <row r="121" spans="1:13" x14ac:dyDescent="0.25">
      <c r="A121" s="3" t="s">
        <v>21</v>
      </c>
      <c r="B121" s="9" t="s">
        <v>147</v>
      </c>
      <c r="C121" s="1" t="s">
        <v>20</v>
      </c>
      <c r="D121" s="2" t="s">
        <v>0</v>
      </c>
      <c r="E121" s="9" t="s">
        <v>147</v>
      </c>
      <c r="F121" t="str">
        <f>IF(E121="Y", A121 &amp; IF(D121="Canada", " Canada", IF(D121="USA", " America", "")), A121)</f>
        <v>STARZ America</v>
      </c>
      <c r="G121" s="13" t="s">
        <v>147</v>
      </c>
      <c r="H121" t="str" cm="1">
        <f t="array" ref="H121">IFERROR(INDEX($J$1:$J$104,MATCH(TRUE,ISNUMBER(SEARCH(TRIM(A121),TRIM($J$1:$J$104))),0)),"")</f>
        <v>Starzern</v>
      </c>
      <c r="I121" cm="1">
        <f t="array" ref="I121">INDEX($J$1:$J$104, _xlfn.XMATCH(TRUE, _xlfn.BYROW($J$1:$J$104, _xlfn.LAMBDA(_xlpm.x, COUNTIF(F121,"*"&amp;_xlpm.x&amp;"*")&gt;0)), 0))</f>
        <v>0</v>
      </c>
      <c r="L121" t="str">
        <f t="shared" si="3"/>
        <v>STARZ America- East</v>
      </c>
      <c r="M121" t="str">
        <f t="shared" si="4"/>
        <v>STARZ America- West</v>
      </c>
    </row>
    <row r="122" spans="1:13" x14ac:dyDescent="0.25">
      <c r="A122" s="2" t="s">
        <v>19</v>
      </c>
      <c r="B122" s="9" t="s">
        <v>147</v>
      </c>
      <c r="C122" s="2" t="s">
        <v>5</v>
      </c>
      <c r="D122" s="2" t="s">
        <v>0</v>
      </c>
      <c r="E122" s="9" t="s">
        <v>143</v>
      </c>
      <c r="F122" t="str">
        <f>IF(E122="Y", A122 &amp; IF(D122="Canada", " Canada", IF(D122="USA", " America", "")), A122)</f>
        <v>SYFY</v>
      </c>
      <c r="G122" s="13" t="s">
        <v>147</v>
      </c>
      <c r="H122" t="str" cm="1">
        <f t="array" ref="H122">IFERROR(INDEX($J$1:$J$104,MATCH(TRUE,ISNUMBER(SEARCH(TRIM(A122),TRIM($J$1:$J$104))),0)),"")</f>
        <v>Syfy</v>
      </c>
      <c r="I122" cm="1">
        <f t="array" ref="I122">INDEX($J$1:$J$104, _xlfn.XMATCH(TRUE, _xlfn.BYROW($J$1:$J$104, _xlfn.LAMBDA(_xlpm.x, COUNTIF(F122,"*"&amp;_xlpm.x&amp;"*")&gt;0)), 0))</f>
        <v>0</v>
      </c>
      <c r="L122" t="str">
        <f t="shared" si="3"/>
        <v>SYFY- East</v>
      </c>
      <c r="M122" t="str">
        <f t="shared" si="4"/>
        <v>SYFY- West</v>
      </c>
    </row>
    <row r="123" spans="1:13" x14ac:dyDescent="0.25">
      <c r="A123" s="2" t="s">
        <v>18</v>
      </c>
      <c r="B123" s="9" t="s">
        <v>147</v>
      </c>
      <c r="C123" s="2" t="s">
        <v>11</v>
      </c>
      <c r="D123" s="2" t="s">
        <v>0</v>
      </c>
      <c r="E123" s="9" t="s">
        <v>147</v>
      </c>
      <c r="F123" t="str">
        <f>IF(E123="Y", A123 &amp; IF(D123="Canada", " Canada", IF(D123="USA", " America", "")), A123)</f>
        <v>TBS America</v>
      </c>
      <c r="G123" s="13" t="s">
        <v>147</v>
      </c>
      <c r="H123" t="str" cm="1">
        <f t="array" ref="H123">IFERROR(INDEX($J$1:$J$104,MATCH(TRUE,ISNUMBER(SEARCH(TRIM(A123),TRIM($J$1:$J$104))),0)),"")</f>
        <v>TBS</v>
      </c>
      <c r="I123" cm="1">
        <f t="array" ref="I123">INDEX($J$1:$J$104, _xlfn.XMATCH(TRUE, _xlfn.BYROW($J$1:$J$104, _xlfn.LAMBDA(_xlpm.x, COUNTIF(F123,"*"&amp;_xlpm.x&amp;"*")&gt;0)), 0))</f>
        <v>0</v>
      </c>
      <c r="L123" t="str">
        <f t="shared" si="3"/>
        <v>TBS America- East</v>
      </c>
      <c r="M123" t="str">
        <f t="shared" si="4"/>
        <v>TBS America- West</v>
      </c>
    </row>
    <row r="124" spans="1:13" x14ac:dyDescent="0.25">
      <c r="A124" s="1" t="s">
        <v>18</v>
      </c>
      <c r="B124" s="9" t="s">
        <v>147</v>
      </c>
      <c r="C124" s="1" t="s">
        <v>16</v>
      </c>
      <c r="D124" s="1" t="s">
        <v>0</v>
      </c>
      <c r="E124" s="9" t="s">
        <v>147</v>
      </c>
      <c r="F124" t="str">
        <f>IF(E124="Y", A124 &amp; IF(D124="Canada", " Canada", IF(D124="USA", " America", "")), A124)</f>
        <v>TBS America</v>
      </c>
      <c r="G124" s="13" t="s">
        <v>147</v>
      </c>
      <c r="H124" t="str" cm="1">
        <f t="array" ref="H124">IFERROR(INDEX($J$1:$J$104,MATCH(TRUE,ISNUMBER(SEARCH(TRIM(A124),TRIM($J$1:$J$104))),0)),"")</f>
        <v>TBS</v>
      </c>
      <c r="I124" cm="1">
        <f t="array" ref="I124">INDEX($J$1:$J$104, _xlfn.XMATCH(TRUE, _xlfn.BYROW($J$1:$J$104, _xlfn.LAMBDA(_xlpm.x, COUNTIF(F124,"*"&amp;_xlpm.x&amp;"*")&gt;0)), 0))</f>
        <v>0</v>
      </c>
      <c r="L124" t="str">
        <f t="shared" si="3"/>
        <v>TBS America- East</v>
      </c>
      <c r="M124" t="str">
        <f t="shared" si="4"/>
        <v>TBS America- West</v>
      </c>
    </row>
    <row r="125" spans="1:13" hidden="1" x14ac:dyDescent="0.25">
      <c r="A125" s="2" t="s">
        <v>17</v>
      </c>
      <c r="B125" s="9" t="s">
        <v>147</v>
      </c>
      <c r="C125" s="2" t="s">
        <v>11</v>
      </c>
      <c r="D125" s="2" t="s">
        <v>0</v>
      </c>
      <c r="E125" s="9" t="s">
        <v>147</v>
      </c>
      <c r="F125" t="str">
        <f>IF(E125="Y", A125 &amp; IF(D125="Canada", " Canada", IF(D125="USA", " America", "")), A125)</f>
        <v>TCM America</v>
      </c>
      <c r="H125" t="str" cm="1">
        <f t="array" ref="H125">IFERROR(INDEX($J$1:$J$104,MATCH(TRUE,ISNUMBER(SEARCH(TRIM(A125),TRIM($J$1:$J$104))),0)),"")</f>
        <v/>
      </c>
      <c r="I125" cm="1">
        <f t="array" ref="I125">INDEX($J$1:$J$104, _xlfn.XMATCH(TRUE, _xlfn.BYROW($J$1:$J$104, _xlfn.LAMBDA(_xlpm.x, COUNTIF(F125,"*"&amp;_xlpm.x&amp;"*")&gt;0)), 0))</f>
        <v>0</v>
      </c>
      <c r="L125" t="str">
        <f t="shared" si="3"/>
        <v/>
      </c>
      <c r="M125" t="str">
        <f t="shared" si="4"/>
        <v/>
      </c>
    </row>
    <row r="126" spans="1:13" hidden="1" x14ac:dyDescent="0.25">
      <c r="A126" s="1" t="s">
        <v>17</v>
      </c>
      <c r="B126" s="9" t="s">
        <v>147</v>
      </c>
      <c r="C126" s="1" t="s">
        <v>16</v>
      </c>
      <c r="D126" s="1" t="s">
        <v>0</v>
      </c>
      <c r="E126" s="9" t="s">
        <v>147</v>
      </c>
      <c r="F126" t="str">
        <f>IF(E126="Y", A126 &amp; IF(D126="Canada", " Canada", IF(D126="USA", " America", "")), A126)</f>
        <v>TCM America</v>
      </c>
      <c r="H126" t="str" cm="1">
        <f t="array" ref="H126">IFERROR(INDEX($J$1:$J$104,MATCH(TRUE,ISNUMBER(SEARCH(TRIM(A126),TRIM($J$1:$J$104))),0)),"")</f>
        <v/>
      </c>
      <c r="I126" cm="1">
        <f t="array" ref="I126">INDEX($J$1:$J$104, _xlfn.XMATCH(TRUE, _xlfn.BYROW($J$1:$J$104, _xlfn.LAMBDA(_xlpm.x, COUNTIF(F126,"*"&amp;_xlpm.x&amp;"*")&gt;0)), 0))</f>
        <v>0</v>
      </c>
      <c r="L126" t="str">
        <f t="shared" si="3"/>
        <v/>
      </c>
      <c r="M126" t="str">
        <f t="shared" si="4"/>
        <v/>
      </c>
    </row>
    <row r="127" spans="1:13" hidden="1" x14ac:dyDescent="0.25">
      <c r="A127" s="2" t="s">
        <v>15</v>
      </c>
      <c r="B127" s="9" t="s">
        <v>143</v>
      </c>
      <c r="C127" s="2" t="s">
        <v>5</v>
      </c>
      <c r="D127" s="2" t="s">
        <v>0</v>
      </c>
      <c r="E127" s="9" t="s">
        <v>143</v>
      </c>
      <c r="F127" t="str">
        <f>IF(E127="Y", A127 &amp; IF(D127="Canada", " Canada", IF(D127="USA", " America", "")), A127)</f>
        <v>Telemundo</v>
      </c>
      <c r="H127" t="str" cm="1">
        <f t="array" ref="H127">IFERROR(INDEX($J$1:$J$104,MATCH(TRUE,ISNUMBER(SEARCH(TRIM(A127),TRIM($J$1:$J$104))),0)),"")</f>
        <v/>
      </c>
      <c r="I127" cm="1">
        <f t="array" ref="I127">INDEX($J$1:$J$104, _xlfn.XMATCH(TRUE, _xlfn.BYROW($J$1:$J$104, _xlfn.LAMBDA(_xlpm.x, COUNTIF(F127,"*"&amp;_xlpm.x&amp;"*")&gt;0)), 0))</f>
        <v>0</v>
      </c>
      <c r="L127" t="str">
        <f t="shared" si="3"/>
        <v/>
      </c>
      <c r="M127" t="str">
        <f t="shared" si="4"/>
        <v/>
      </c>
    </row>
    <row r="128" spans="1:13" hidden="1" x14ac:dyDescent="0.25">
      <c r="A128" s="2" t="s">
        <v>92</v>
      </c>
      <c r="B128" s="9" t="s">
        <v>143</v>
      </c>
      <c r="C128" s="2" t="s">
        <v>81</v>
      </c>
      <c r="D128" s="2" t="s">
        <v>80</v>
      </c>
      <c r="E128" s="9" t="s">
        <v>143</v>
      </c>
      <c r="F128" t="str">
        <f>IF(E128="Y", A128 &amp; IF(D128="Canada", " Canada", IF(D128="USA", " America", "")), A128)</f>
        <v>TÉMOIN</v>
      </c>
      <c r="H128" t="str" cm="1">
        <f t="array" ref="H128">IFERROR(INDEX($J$1:$J$104,MATCH(TRUE,ISNUMBER(SEARCH(TRIM(A128),TRIM($J$1:$J$104))),0)),"")</f>
        <v/>
      </c>
      <c r="I128" cm="1">
        <f t="array" ref="I128">INDEX($J$1:$J$104, _xlfn.XMATCH(TRUE, _xlfn.BYROW($J$1:$J$104, _xlfn.LAMBDA(_xlpm.x, COUNTIF(F128,"*"&amp;_xlpm.x&amp;"*")&gt;0)), 0))</f>
        <v>0</v>
      </c>
      <c r="L128" t="str">
        <f t="shared" si="3"/>
        <v/>
      </c>
      <c r="M128" t="str">
        <f t="shared" si="4"/>
        <v/>
      </c>
    </row>
    <row r="129" spans="1:13" x14ac:dyDescent="0.25">
      <c r="A129" s="2" t="s">
        <v>14</v>
      </c>
      <c r="B129" s="9" t="s">
        <v>147</v>
      </c>
      <c r="C129" s="2" t="s">
        <v>11</v>
      </c>
      <c r="D129" s="2" t="s">
        <v>0</v>
      </c>
      <c r="E129" s="9" t="s">
        <v>147</v>
      </c>
      <c r="F129" t="str">
        <f>IF(E129="Y", A129 &amp; IF(D129="Canada", " Canada", IF(D129="USA", " America", "")), A129)</f>
        <v>TLC America</v>
      </c>
      <c r="G129" s="13" t="s">
        <v>147</v>
      </c>
      <c r="H129" t="str" cm="1">
        <f t="array" ref="H129">IFERROR(INDEX($J$1:$J$104,MATCH(TRUE,ISNUMBER(SEARCH(TRIM(A129),TRIM($J$1:$J$104))),0)),"")</f>
        <v>TLC USAern</v>
      </c>
      <c r="I129" cm="1">
        <f t="array" ref="I129">INDEX($J$1:$J$104, _xlfn.XMATCH(TRUE, _xlfn.BYROW($J$1:$J$104, _xlfn.LAMBDA(_xlpm.x, COUNTIF(F129,"*"&amp;_xlpm.x&amp;"*")&gt;0)), 0))</f>
        <v>0</v>
      </c>
      <c r="L129" t="str">
        <f t="shared" si="3"/>
        <v>TLC America- East</v>
      </c>
      <c r="M129" t="str">
        <f t="shared" si="4"/>
        <v>TLC America- West</v>
      </c>
    </row>
    <row r="130" spans="1:13" x14ac:dyDescent="0.25">
      <c r="A130" s="2" t="s">
        <v>13</v>
      </c>
      <c r="B130" s="9" t="s">
        <v>147</v>
      </c>
      <c r="C130" s="2" t="s">
        <v>11</v>
      </c>
      <c r="D130" s="2" t="s">
        <v>0</v>
      </c>
      <c r="E130" s="9" t="s">
        <v>147</v>
      </c>
      <c r="F130" t="str">
        <f>IF(E130="Y", A130 &amp; IF(D130="Canada", " Canada", IF(D130="USA", " America", "")), A130)</f>
        <v>TNT America</v>
      </c>
      <c r="G130" s="13" t="s">
        <v>147</v>
      </c>
      <c r="H130" t="str" cm="1">
        <f t="array" ref="H130">IFERROR(INDEX($J$1:$J$104,MATCH(TRUE,ISNUMBER(SEARCH(TRIM(A130),TRIM($J$1:$J$104))),0)),"")</f>
        <v>TNT</v>
      </c>
      <c r="I130" cm="1">
        <f t="array" ref="I130">INDEX($J$1:$J$104, _xlfn.XMATCH(TRUE, _xlfn.BYROW($J$1:$J$104, _xlfn.LAMBDA(_xlpm.x, COUNTIF(F130,"*"&amp;_xlpm.x&amp;"*")&gt;0)), 0))</f>
        <v>0</v>
      </c>
      <c r="L130" t="str">
        <f t="shared" si="3"/>
        <v>TNT America- East</v>
      </c>
      <c r="M130" t="str">
        <f t="shared" si="4"/>
        <v>TNT America- West</v>
      </c>
    </row>
    <row r="131" spans="1:13" hidden="1" x14ac:dyDescent="0.25">
      <c r="A131" s="2" t="s">
        <v>91</v>
      </c>
      <c r="B131" s="9" t="s">
        <v>147</v>
      </c>
      <c r="C131" s="2" t="s">
        <v>83</v>
      </c>
      <c r="D131" s="2" t="s">
        <v>80</v>
      </c>
      <c r="E131" s="9" t="s">
        <v>147</v>
      </c>
      <c r="F131" t="str">
        <f>IF(E131="Y", A131 &amp; IF(D131="Canada", " Canada", IF(D131="USA", " America", "")), A131)</f>
        <v>Treehouse Canada</v>
      </c>
      <c r="H131" t="str" cm="1">
        <f t="array" ref="H131">IFERROR(INDEX($J$1:$J$104,MATCH(TRUE,ISNUMBER(SEARCH(TRIM(A131),TRIM($J$1:$J$104))),0)),"")</f>
        <v/>
      </c>
      <c r="I131" cm="1">
        <f t="array" ref="I131">INDEX($J$1:$J$104, _xlfn.XMATCH(TRUE, _xlfn.BYROW($J$1:$J$104, _xlfn.LAMBDA(_xlpm.x, COUNTIF(F131,"*"&amp;_xlpm.x&amp;"*")&gt;0)), 0))</f>
        <v>0</v>
      </c>
      <c r="L131" t="str">
        <f t="shared" ref="L131:L148" si="5">IF(G131="Y", F131&amp;L$1, "")</f>
        <v/>
      </c>
      <c r="M131" t="str">
        <f t="shared" ref="M131:M148" si="6">IF(G131="Y", F131&amp;M$1, "")</f>
        <v/>
      </c>
    </row>
    <row r="132" spans="1:13" x14ac:dyDescent="0.25">
      <c r="A132" s="2" t="s">
        <v>90</v>
      </c>
      <c r="B132" s="9" t="s">
        <v>147</v>
      </c>
      <c r="C132" s="2" t="s">
        <v>86</v>
      </c>
      <c r="D132" s="2" t="s">
        <v>80</v>
      </c>
      <c r="E132" s="9" t="s">
        <v>147</v>
      </c>
      <c r="F132" t="str">
        <f>IF(E132="Y", A132 &amp; IF(D132="Canada", " Canada", IF(D132="USA", " America", "")), A132)</f>
        <v>True Crime Canada</v>
      </c>
      <c r="G132" s="13" t="s">
        <v>147</v>
      </c>
      <c r="H132" t="str" cm="1">
        <f t="array" ref="H132">IFERROR(INDEX($J$1:$J$104,MATCH(TRUE,ISNUMBER(SEARCH(TRIM(A132),TRIM($J$1:$J$104))),0)),"")</f>
        <v>Oxygen True Crime</v>
      </c>
      <c r="I132" cm="1">
        <f t="array" ref="I132">INDEX($J$1:$J$104, _xlfn.XMATCH(TRUE, _xlfn.BYROW($J$1:$J$104, _xlfn.LAMBDA(_xlpm.x, COUNTIF(F132,"*"&amp;_xlpm.x&amp;"*")&gt;0)), 0))</f>
        <v>0</v>
      </c>
      <c r="L132" t="str">
        <f t="shared" si="5"/>
        <v>True Crime Canada- East</v>
      </c>
      <c r="M132" t="str">
        <f t="shared" si="6"/>
        <v>True Crime Canada- West</v>
      </c>
    </row>
    <row r="133" spans="1:13" x14ac:dyDescent="0.25">
      <c r="A133" s="2" t="s">
        <v>12</v>
      </c>
      <c r="B133" s="9" t="s">
        <v>147</v>
      </c>
      <c r="C133" s="2" t="s">
        <v>11</v>
      </c>
      <c r="D133" s="2" t="s">
        <v>0</v>
      </c>
      <c r="E133" s="9" t="s">
        <v>143</v>
      </c>
      <c r="F133" t="str">
        <f>IF(E133="Y", A133 &amp; IF(D133="Canada", " Canada", IF(D133="USA", " America", "")), A133)</f>
        <v>TruTV</v>
      </c>
      <c r="G133" s="13" t="s">
        <v>147</v>
      </c>
      <c r="H133" t="str" cm="1">
        <f t="array" ref="H133">IFERROR(INDEX($J$1:$J$104,MATCH(TRUE,ISNUMBER(SEARCH(TRIM(A133),TRIM($J$1:$J$104))),0)),"")</f>
        <v>truTV USAern</v>
      </c>
      <c r="I133" cm="1">
        <f t="array" ref="I133">INDEX($J$1:$J$104, _xlfn.XMATCH(TRUE, _xlfn.BYROW($J$1:$J$104, _xlfn.LAMBDA(_xlpm.x, COUNTIF(F133,"*"&amp;_xlpm.x&amp;"*")&gt;0)), 0))</f>
        <v>0</v>
      </c>
      <c r="L133" t="str">
        <f t="shared" si="5"/>
        <v>TruTV- East</v>
      </c>
      <c r="M133" t="str">
        <f t="shared" si="6"/>
        <v>TruTV- West</v>
      </c>
    </row>
    <row r="134" spans="1:13" hidden="1" x14ac:dyDescent="0.25">
      <c r="A134" s="2" t="s">
        <v>89</v>
      </c>
      <c r="B134" s="9" t="s">
        <v>147</v>
      </c>
      <c r="C134" s="2" t="s">
        <v>86</v>
      </c>
      <c r="D134" s="2" t="s">
        <v>80</v>
      </c>
      <c r="E134" s="9" t="s">
        <v>143</v>
      </c>
      <c r="F134" t="str">
        <f>IF(E134="Y", A134 &amp; IF(D134="Canada", " Canada", IF(D134="USA", " America", "")), A134)</f>
        <v>TSN</v>
      </c>
      <c r="H134" t="str" cm="1">
        <f t="array" ref="H134">IFERROR(INDEX($J$1:$J$104,MATCH(TRUE,ISNUMBER(SEARCH(TRIM(A134),TRIM($J$1:$J$104))),0)),"")</f>
        <v/>
      </c>
      <c r="I134" cm="1">
        <f t="array" ref="I134">INDEX($J$1:$J$104, _xlfn.XMATCH(TRUE, _xlfn.BYROW($J$1:$J$104, _xlfn.LAMBDA(_xlpm.x, COUNTIF(F134,"*"&amp;_xlpm.x&amp;"*")&gt;0)), 0))</f>
        <v>0</v>
      </c>
      <c r="L134" t="str">
        <f t="shared" si="5"/>
        <v/>
      </c>
      <c r="M134" t="str">
        <f t="shared" si="6"/>
        <v/>
      </c>
    </row>
    <row r="135" spans="1:13" hidden="1" x14ac:dyDescent="0.25">
      <c r="A135" s="2" t="s">
        <v>10</v>
      </c>
      <c r="B135" s="9" t="s">
        <v>147</v>
      </c>
      <c r="C135" s="2" t="s">
        <v>9</v>
      </c>
      <c r="D135" s="2" t="s">
        <v>0</v>
      </c>
      <c r="E135" s="9" t="s">
        <v>147</v>
      </c>
      <c r="F135" t="str">
        <f>IF(E135="Y", A135 &amp; IF(D135="Canada", " Canada", IF(D135="USA", " America", "")), A135)</f>
        <v>Tubi America</v>
      </c>
      <c r="H135" t="str" cm="1">
        <f t="array" ref="H135">IFERROR(INDEX($J$1:$J$104,MATCH(TRUE,ISNUMBER(SEARCH(TRIM(A135),TRIM($J$1:$J$104))),0)),"")</f>
        <v/>
      </c>
      <c r="I135" cm="1">
        <f t="array" ref="I135">INDEX($J$1:$J$104, _xlfn.XMATCH(TRUE, _xlfn.BYROW($J$1:$J$104, _xlfn.LAMBDA(_xlpm.x, COUNTIF(F135,"*"&amp;_xlpm.x&amp;"*")&gt;0)), 0))</f>
        <v>0</v>
      </c>
      <c r="L135" t="str">
        <f t="shared" si="5"/>
        <v/>
      </c>
      <c r="M135" t="str">
        <f t="shared" si="6"/>
        <v/>
      </c>
    </row>
    <row r="136" spans="1:13" x14ac:dyDescent="0.25">
      <c r="A136" s="2" t="s">
        <v>8</v>
      </c>
      <c r="B136" s="9" t="s">
        <v>147</v>
      </c>
      <c r="C136" s="2" t="s">
        <v>3</v>
      </c>
      <c r="D136" s="2" t="s">
        <v>0</v>
      </c>
      <c r="E136" s="9" t="s">
        <v>147</v>
      </c>
      <c r="F136" t="str">
        <f>IF(E136="Y", A136 &amp; IF(D136="Canada", " Canada", IF(D136="USA", " America", "")), A136)</f>
        <v>TV Land America</v>
      </c>
      <c r="G136" s="13" t="s">
        <v>147</v>
      </c>
      <c r="H136" t="str" cm="1">
        <f t="array" ref="H136">IFERROR(INDEX($J$1:$J$104,MATCH(TRUE,ISNUMBER(SEARCH(TRIM(A136),TRIM($J$1:$J$104))),0)),"")</f>
        <v>TV Landern</v>
      </c>
      <c r="I136" cm="1">
        <f t="array" ref="I136">INDEX($J$1:$J$104, _xlfn.XMATCH(TRUE, _xlfn.BYROW($J$1:$J$104, _xlfn.LAMBDA(_xlpm.x, COUNTIF(F136,"*"&amp;_xlpm.x&amp;"*")&gt;0)), 0))</f>
        <v>0</v>
      </c>
      <c r="L136" t="str">
        <f t="shared" si="5"/>
        <v>TV Land America- East</v>
      </c>
      <c r="M136" t="str">
        <f t="shared" si="6"/>
        <v>TV Land America- West</v>
      </c>
    </row>
    <row r="137" spans="1:13" hidden="1" x14ac:dyDescent="0.25">
      <c r="A137" s="2" t="s">
        <v>88</v>
      </c>
      <c r="B137" s="9" t="s">
        <v>143</v>
      </c>
      <c r="C137" s="2" t="s">
        <v>81</v>
      </c>
      <c r="D137" s="2" t="s">
        <v>80</v>
      </c>
      <c r="E137" s="9" t="s">
        <v>143</v>
      </c>
      <c r="F137" t="str">
        <f>IF(E137="Y", A137 &amp; IF(D137="Canada", " Canada", IF(D137="USA", " America", "")), A137)</f>
        <v>TVA (local stations)</v>
      </c>
      <c r="H137" t="str" cm="1">
        <f t="array" ref="H137">IFERROR(INDEX($J$1:$J$104,MATCH(TRUE,ISNUMBER(SEARCH(TRIM(A137),TRIM($J$1:$J$104))),0)),"")</f>
        <v/>
      </c>
      <c r="I137" cm="1">
        <f t="array" ref="I137">INDEX($J$1:$J$104, _xlfn.XMATCH(TRUE, _xlfn.BYROW($J$1:$J$104, _xlfn.LAMBDA(_xlpm.x, COUNTIF(F137,"*"&amp;_xlpm.x&amp;"*")&gt;0)), 0))</f>
        <v>0</v>
      </c>
      <c r="L137" t="str">
        <f t="shared" si="5"/>
        <v/>
      </c>
      <c r="M137" t="str">
        <f t="shared" si="6"/>
        <v/>
      </c>
    </row>
    <row r="138" spans="1:13" hidden="1" x14ac:dyDescent="0.25">
      <c r="A138" s="2" t="s">
        <v>87</v>
      </c>
      <c r="B138" s="9" t="s">
        <v>143</v>
      </c>
      <c r="C138" s="2" t="s">
        <v>81</v>
      </c>
      <c r="D138" s="2" t="s">
        <v>80</v>
      </c>
      <c r="E138" s="9" t="s">
        <v>143</v>
      </c>
      <c r="F138" t="str">
        <f>IF(E138="Y", A138 &amp; IF(D138="Canada", " Canada", IF(D138="USA", " America", "")), A138)</f>
        <v>TVA Sports</v>
      </c>
      <c r="H138" t="str" cm="1">
        <f t="array" ref="H138">IFERROR(INDEX($J$1:$J$104,MATCH(TRUE,ISNUMBER(SEARCH(TRIM(A138),TRIM($J$1:$J$104))),0)),"")</f>
        <v/>
      </c>
      <c r="I138" cm="1">
        <f t="array" ref="I138">INDEX($J$1:$J$104, _xlfn.XMATCH(TRUE, _xlfn.BYROW($J$1:$J$104, _xlfn.LAMBDA(_xlpm.x, COUNTIF(F138,"*"&amp;_xlpm.x&amp;"*")&gt;0)), 0))</f>
        <v>0</v>
      </c>
      <c r="L138" t="str">
        <f t="shared" si="5"/>
        <v/>
      </c>
      <c r="M138" t="str">
        <f t="shared" si="6"/>
        <v/>
      </c>
    </row>
    <row r="139" spans="1:13" hidden="1" x14ac:dyDescent="0.25">
      <c r="A139" s="2" t="s">
        <v>7</v>
      </c>
      <c r="B139" s="9" t="s">
        <v>147</v>
      </c>
      <c r="C139" s="2" t="s">
        <v>5</v>
      </c>
      <c r="D139" s="2" t="s">
        <v>0</v>
      </c>
      <c r="E139" s="9" t="s">
        <v>147</v>
      </c>
      <c r="F139" t="str">
        <f>IF(E139="Y", A139 &amp; IF(D139="Canada", " Canada", IF(D139="USA", " America", "")), A139)</f>
        <v>Universal Kids America</v>
      </c>
      <c r="H139" t="str" cm="1">
        <f t="array" ref="H139">IFERROR(INDEX($J$1:$J$104,MATCH(TRUE,ISNUMBER(SEARCH(TRIM(A139),TRIM($J$1:$J$104))),0)),"")</f>
        <v/>
      </c>
      <c r="I139" cm="1">
        <f t="array" ref="I139">INDEX($J$1:$J$104, _xlfn.XMATCH(TRUE, _xlfn.BYROW($J$1:$J$104, _xlfn.LAMBDA(_xlpm.x, COUNTIF(F139,"*"&amp;_xlpm.x&amp;"*")&gt;0)), 0))</f>
        <v>0</v>
      </c>
      <c r="L139" t="str">
        <f t="shared" si="5"/>
        <v/>
      </c>
      <c r="M139" t="str">
        <f t="shared" si="6"/>
        <v/>
      </c>
    </row>
    <row r="140" spans="1:13" x14ac:dyDescent="0.25">
      <c r="A140" s="2" t="s">
        <v>6</v>
      </c>
      <c r="B140" s="9" t="s">
        <v>147</v>
      </c>
      <c r="C140" s="2" t="s">
        <v>5</v>
      </c>
      <c r="D140" s="2" t="s">
        <v>0</v>
      </c>
      <c r="E140" s="9" t="s">
        <v>147</v>
      </c>
      <c r="F140" t="str">
        <f>IF(E140="Y", A140 &amp; IF(D140="Canada", " Canada", IF(D140="USA", " America", "")), A140)</f>
        <v>USA Network America</v>
      </c>
      <c r="G140" s="13" t="s">
        <v>147</v>
      </c>
      <c r="H140" t="str" cm="1">
        <f t="array" ref="H140">IFERROR(INDEX($J$1:$J$104,MATCH(TRUE,ISNUMBER(SEARCH(TRIM(A140),TRIM($J$1:$J$104))),0)),"")</f>
        <v>USA Network Feed</v>
      </c>
      <c r="I140" cm="1">
        <f t="array" ref="I140">INDEX($J$1:$J$104, _xlfn.XMATCH(TRUE, _xlfn.BYROW($J$1:$J$104, _xlfn.LAMBDA(_xlpm.x, COUNTIF(F140,"*"&amp;_xlpm.x&amp;"*")&gt;0)), 0))</f>
        <v>0</v>
      </c>
      <c r="L140" t="str">
        <f t="shared" si="5"/>
        <v>USA Network America- East</v>
      </c>
      <c r="M140" t="str">
        <f t="shared" si="6"/>
        <v>USA Network America- West</v>
      </c>
    </row>
    <row r="141" spans="1:13" x14ac:dyDescent="0.25">
      <c r="A141" s="2" t="s">
        <v>6</v>
      </c>
      <c r="B141" s="9" t="s">
        <v>147</v>
      </c>
      <c r="C141" s="2" t="s">
        <v>86</v>
      </c>
      <c r="D141" s="2" t="s">
        <v>80</v>
      </c>
      <c r="E141" s="9" t="s">
        <v>147</v>
      </c>
      <c r="F141" t="str">
        <f>IF(E141="Y", A141 &amp; IF(D141="Canada", " Canada", IF(D141="USA", " America", "")), A141)</f>
        <v>USA Network Canada</v>
      </c>
      <c r="G141" s="13" t="s">
        <v>147</v>
      </c>
      <c r="H141" t="str" cm="1">
        <f t="array" ref="H141">IFERROR(INDEX($J$1:$J$104,MATCH(TRUE,ISNUMBER(SEARCH(TRIM(A141),TRIM($J$1:$J$104))),0)),"")</f>
        <v>USA Network Feed</v>
      </c>
      <c r="I141" cm="1">
        <f t="array" ref="I141">INDEX($J$1:$J$104, _xlfn.XMATCH(TRUE, _xlfn.BYROW($J$1:$J$104, _xlfn.LAMBDA(_xlpm.x, COUNTIF(F141,"*"&amp;_xlpm.x&amp;"*")&gt;0)), 0))</f>
        <v>0</v>
      </c>
      <c r="L141" t="str">
        <f t="shared" si="5"/>
        <v>USA Network Canada- East</v>
      </c>
      <c r="M141" t="str">
        <f t="shared" si="6"/>
        <v>USA Network Canada- West</v>
      </c>
    </row>
    <row r="142" spans="1:13" x14ac:dyDescent="0.25">
      <c r="A142" s="2" t="s">
        <v>4</v>
      </c>
      <c r="B142" s="9" t="s">
        <v>147</v>
      </c>
      <c r="C142" s="2" t="s">
        <v>3</v>
      </c>
      <c r="D142" s="2" t="s">
        <v>0</v>
      </c>
      <c r="E142" s="9" t="s">
        <v>147</v>
      </c>
      <c r="F142" t="str">
        <f>IF(E142="Y", A142 &amp; IF(D142="Canada", " Canada", IF(D142="USA", " America", "")), A142)</f>
        <v>VH1 America</v>
      </c>
      <c r="G142" s="13" t="s">
        <v>147</v>
      </c>
      <c r="H142" t="str" cm="1">
        <f t="array" ref="H142">IFERROR(INDEX($J$1:$J$104,MATCH(TRUE,ISNUMBER(SEARCH(TRIM(A142),TRIM($J$1:$J$104))),0)),"")</f>
        <v>VH1</v>
      </c>
      <c r="I142" cm="1">
        <f t="array" ref="I142">INDEX($J$1:$J$104, _xlfn.XMATCH(TRUE, _xlfn.BYROW($J$1:$J$104, _xlfn.LAMBDA(_xlpm.x, COUNTIF(F142,"*"&amp;_xlpm.x&amp;"*")&gt;0)), 0))</f>
        <v>0</v>
      </c>
      <c r="L142" t="str">
        <f t="shared" si="5"/>
        <v>VH1 America- East</v>
      </c>
      <c r="M142" t="str">
        <f t="shared" si="6"/>
        <v>VH1 America- West</v>
      </c>
    </row>
    <row r="143" spans="1:13" x14ac:dyDescent="0.25">
      <c r="A143" s="1" t="s">
        <v>4</v>
      </c>
      <c r="B143" s="9" t="s">
        <v>147</v>
      </c>
      <c r="C143" s="1" t="s">
        <v>20</v>
      </c>
      <c r="D143" s="1" t="s">
        <v>80</v>
      </c>
      <c r="E143" s="9" t="s">
        <v>147</v>
      </c>
      <c r="F143" t="str">
        <f>IF(E143="Y", A143 &amp; IF(D143="Canada", " Canada", IF(D143="USA", " America", "")), A143)</f>
        <v>VH1 Canada</v>
      </c>
      <c r="G143" s="13" t="s">
        <v>147</v>
      </c>
      <c r="H143" t="str" cm="1">
        <f t="array" ref="H143">IFERROR(INDEX($J$1:$J$104,MATCH(TRUE,ISNUMBER(SEARCH(TRIM(A143),TRIM($J$1:$J$104))),0)),"")</f>
        <v>VH1</v>
      </c>
      <c r="I143" cm="1">
        <f t="array" ref="I143">INDEX($J$1:$J$104, _xlfn.XMATCH(TRUE, _xlfn.BYROW($J$1:$J$104, _xlfn.LAMBDA(_xlpm.x, COUNTIF(F143,"*"&amp;_xlpm.x&amp;"*")&gt;0)), 0))</f>
        <v>0</v>
      </c>
      <c r="L143" t="str">
        <f t="shared" si="5"/>
        <v>VH1 Canada- East</v>
      </c>
      <c r="M143" t="str">
        <f t="shared" si="6"/>
        <v>VH1 Canada- West</v>
      </c>
    </row>
    <row r="144" spans="1:13" hidden="1" x14ac:dyDescent="0.25">
      <c r="A144" s="2" t="s">
        <v>2</v>
      </c>
      <c r="B144" s="9" t="s">
        <v>147</v>
      </c>
      <c r="C144" s="2" t="s">
        <v>1</v>
      </c>
      <c r="D144" s="2" t="s">
        <v>0</v>
      </c>
      <c r="E144" s="9" t="s">
        <v>147</v>
      </c>
      <c r="F144" t="str">
        <f>IF(E144="Y", A144 &amp; IF(D144="Canada", " Canada", IF(D144="USA", " America", "")), A144)</f>
        <v>VICE America</v>
      </c>
      <c r="H144" t="str" cm="1">
        <f t="array" ref="H144">IFERROR(INDEX($J$1:$J$104,MATCH(TRUE,ISNUMBER(SEARCH(TRIM(A144),TRIM($J$1:$J$104))),0)),"")</f>
        <v/>
      </c>
      <c r="I144" cm="1">
        <f t="array" ref="I144">INDEX($J$1:$J$104, _xlfn.XMATCH(TRUE, _xlfn.BYROW($J$1:$J$104, _xlfn.LAMBDA(_xlpm.x, COUNTIF(F144,"*"&amp;_xlpm.x&amp;"*")&gt;0)), 0))</f>
        <v>0</v>
      </c>
      <c r="L144" t="str">
        <f t="shared" si="5"/>
        <v/>
      </c>
      <c r="M144" t="str">
        <f t="shared" si="6"/>
        <v/>
      </c>
    </row>
    <row r="145" spans="1:13" hidden="1" x14ac:dyDescent="0.25">
      <c r="A145" s="2" t="s">
        <v>2</v>
      </c>
      <c r="B145" s="9" t="s">
        <v>147</v>
      </c>
      <c r="C145" s="2" t="s">
        <v>1</v>
      </c>
      <c r="D145" s="2" t="s">
        <v>80</v>
      </c>
      <c r="E145" s="9" t="s">
        <v>147</v>
      </c>
      <c r="F145" t="str">
        <f>IF(E145="Y", A145 &amp; IF(D145="Canada", " Canada", IF(D145="USA", " America", "")), A145)</f>
        <v>VICE Canada</v>
      </c>
      <c r="H145" t="str" cm="1">
        <f t="array" ref="H145">IFERROR(INDEX($J$1:$J$104,MATCH(TRUE,ISNUMBER(SEARCH(TRIM(A145),TRIM($J$1:$J$104))),0)),"")</f>
        <v/>
      </c>
      <c r="I145" cm="1">
        <f t="array" ref="I145">INDEX($J$1:$J$104, _xlfn.XMATCH(TRUE, _xlfn.BYROW($J$1:$J$104, _xlfn.LAMBDA(_xlpm.x, COUNTIF(F145,"*"&amp;_xlpm.x&amp;"*")&gt;0)), 0))</f>
        <v>0</v>
      </c>
      <c r="L145" t="str">
        <f t="shared" si="5"/>
        <v/>
      </c>
      <c r="M145" t="str">
        <f t="shared" si="6"/>
        <v/>
      </c>
    </row>
    <row r="146" spans="1:13" x14ac:dyDescent="0.25">
      <c r="A146" s="2" t="s">
        <v>85</v>
      </c>
      <c r="B146" s="9" t="s">
        <v>147</v>
      </c>
      <c r="C146" s="2" t="s">
        <v>83</v>
      </c>
      <c r="D146" s="2" t="s">
        <v>80</v>
      </c>
      <c r="E146" s="9" t="s">
        <v>147</v>
      </c>
      <c r="F146" t="str">
        <f>IF(E146="Y", A146 &amp; IF(D146="Canada", " Canada", IF(D146="USA", " America", "")), A146)</f>
        <v>W Network Canada</v>
      </c>
      <c r="G146" s="13" t="s">
        <v>147</v>
      </c>
      <c r="H146" t="str" cm="1">
        <f t="array" ref="H146">IFERROR(INDEX($J$1:$J$104,MATCH(TRUE,ISNUMBER(SEARCH(TRIM(A146),TRIM($J$1:$J$104))),0)),"")</f>
        <v>Game Show Network</v>
      </c>
      <c r="I146" cm="1">
        <f t="array" ref="I146">INDEX($J$1:$J$104, _xlfn.XMATCH(TRUE, _xlfn.BYROW($J$1:$J$104, _xlfn.LAMBDA(_xlpm.x, COUNTIF(F146,"*"&amp;_xlpm.x&amp;"*")&gt;0)), 0))</f>
        <v>0</v>
      </c>
      <c r="L146" t="str">
        <f t="shared" si="5"/>
        <v>W Network Canada- East</v>
      </c>
      <c r="M146" t="str">
        <f t="shared" si="6"/>
        <v>W Network Canada- West</v>
      </c>
    </row>
    <row r="147" spans="1:13" hidden="1" x14ac:dyDescent="0.25">
      <c r="A147" s="2" t="s">
        <v>84</v>
      </c>
      <c r="B147" s="9" t="s">
        <v>147</v>
      </c>
      <c r="C147" s="2" t="s">
        <v>83</v>
      </c>
      <c r="D147" s="2" t="s">
        <v>80</v>
      </c>
      <c r="E147" s="9" t="s">
        <v>147</v>
      </c>
      <c r="F147" t="str">
        <f>IF(E147="Y", A147 &amp; IF(D147="Canada", " Canada", IF(D147="USA", " America", "")), A147)</f>
        <v>YTV Canada</v>
      </c>
      <c r="H147" t="str" cm="1">
        <f t="array" ref="H147">IFERROR(INDEX($J$1:$J$104,MATCH(TRUE,ISNUMBER(SEARCH(TRIM(A147),TRIM($J$1:$J$104))),0)),"")</f>
        <v/>
      </c>
      <c r="I147" cm="1">
        <f t="array" ref="I147">INDEX($J$1:$J$104, _xlfn.XMATCH(TRUE, _xlfn.BYROW($J$1:$J$104, _xlfn.LAMBDA(_xlpm.x, COUNTIF(F147,"*"&amp;_xlpm.x&amp;"*")&gt;0)), 0))</f>
        <v>0</v>
      </c>
      <c r="L147" t="str">
        <f t="shared" si="5"/>
        <v/>
      </c>
      <c r="M147" t="str">
        <f t="shared" si="6"/>
        <v/>
      </c>
    </row>
    <row r="148" spans="1:13" hidden="1" x14ac:dyDescent="0.25">
      <c r="A148" s="2" t="s">
        <v>82</v>
      </c>
      <c r="B148" s="9" t="s">
        <v>143</v>
      </c>
      <c r="C148" s="2" t="s">
        <v>81</v>
      </c>
      <c r="D148" s="2" t="s">
        <v>80</v>
      </c>
      <c r="E148" s="9" t="s">
        <v>143</v>
      </c>
      <c r="F148" t="str">
        <f>IF(E148="Y", A148 &amp; IF(D148="Canada", " Canada", IF(D148="USA", " America", "")), A148)</f>
        <v>Zeste</v>
      </c>
      <c r="H148" t="str" cm="1">
        <f t="array" ref="H148">IFERROR(INDEX($J$1:$J$104,MATCH(TRUE,ISNUMBER(SEARCH(TRIM(A148),TRIM($J$1:$J$104))),0)),"")</f>
        <v/>
      </c>
      <c r="I148" cm="1">
        <f t="array" ref="I148">INDEX($J$1:$J$104, _xlfn.XMATCH(TRUE, _xlfn.BYROW($J$1:$J$104, _xlfn.LAMBDA(_xlpm.x, COUNTIF(F148,"*"&amp;_xlpm.x&amp;"*")&gt;0)), 0))</f>
        <v>0</v>
      </c>
      <c r="L148" t="str">
        <f t="shared" si="5"/>
        <v/>
      </c>
      <c r="M148" t="str">
        <f t="shared" si="6"/>
        <v/>
      </c>
    </row>
    <row r="149" spans="1:13" hidden="1" x14ac:dyDescent="0.25">
      <c r="A149" s="2"/>
      <c r="B149" s="9"/>
      <c r="C149" s="2"/>
      <c r="D149" s="2"/>
    </row>
    <row r="150" spans="1:13" hidden="1" x14ac:dyDescent="0.25">
      <c r="A150" s="2"/>
      <c r="B150" s="9"/>
      <c r="C150" s="2"/>
      <c r="D150" s="2"/>
    </row>
    <row r="151" spans="1:13" hidden="1" x14ac:dyDescent="0.25">
      <c r="C151" s="2"/>
      <c r="D151" s="2"/>
    </row>
    <row r="152" spans="1:13" hidden="1" x14ac:dyDescent="0.25">
      <c r="C152" s="2"/>
      <c r="D152" s="2"/>
    </row>
    <row r="153" spans="1:13" hidden="1" x14ac:dyDescent="0.25">
      <c r="A153" s="2"/>
      <c r="B153" s="9"/>
      <c r="C153" s="2"/>
      <c r="D153" s="2"/>
    </row>
    <row r="154" spans="1:13" hidden="1" x14ac:dyDescent="0.25">
      <c r="A154" s="2"/>
      <c r="B154" s="9"/>
      <c r="C154" s="2"/>
      <c r="D154" s="2"/>
    </row>
    <row r="155" spans="1:13" hidden="1" x14ac:dyDescent="0.25">
      <c r="A155" s="2"/>
      <c r="B155" s="9"/>
      <c r="C155" s="2"/>
      <c r="D155" s="2"/>
    </row>
    <row r="156" spans="1:13" hidden="1" x14ac:dyDescent="0.25">
      <c r="A156" s="2"/>
      <c r="B156" s="9"/>
      <c r="C156" s="2"/>
      <c r="D156" s="2"/>
    </row>
    <row r="157" spans="1:13" hidden="1" x14ac:dyDescent="0.25">
      <c r="C157" s="2"/>
      <c r="D157" s="2"/>
    </row>
    <row r="158" spans="1:13" hidden="1" x14ac:dyDescent="0.25">
      <c r="D158" s="2"/>
    </row>
    <row r="159" spans="1:13" hidden="1" x14ac:dyDescent="0.25">
      <c r="C159" s="2"/>
      <c r="D159" s="2"/>
    </row>
    <row r="160" spans="1:13" hidden="1" x14ac:dyDescent="0.25">
      <c r="A160" s="2"/>
      <c r="B160" s="9"/>
      <c r="C160" s="2"/>
      <c r="D160" s="2"/>
    </row>
    <row r="161" spans="1:4" hidden="1" x14ac:dyDescent="0.25">
      <c r="A161" s="2"/>
      <c r="B161" s="9"/>
      <c r="C161" s="2"/>
      <c r="D161" s="2"/>
    </row>
    <row r="162" spans="1:4" hidden="1" x14ac:dyDescent="0.25">
      <c r="A162" s="3"/>
      <c r="B162" s="11"/>
      <c r="D162" s="2"/>
    </row>
    <row r="163" spans="1:4" hidden="1" x14ac:dyDescent="0.25"/>
    <row r="164" spans="1:4" hidden="1" x14ac:dyDescent="0.25">
      <c r="C164" s="2"/>
      <c r="D164" s="2"/>
    </row>
    <row r="165" spans="1:4" hidden="1" x14ac:dyDescent="0.25">
      <c r="A165" s="2"/>
      <c r="B165" s="9"/>
      <c r="D165" s="2"/>
    </row>
    <row r="166" spans="1:4" hidden="1" x14ac:dyDescent="0.25">
      <c r="A166" s="2"/>
      <c r="B166" s="9"/>
      <c r="C166" s="2"/>
      <c r="D166" s="2"/>
    </row>
    <row r="167" spans="1:4" hidden="1" x14ac:dyDescent="0.25">
      <c r="C167" s="2"/>
      <c r="D167" s="2"/>
    </row>
    <row r="168" spans="1:4" hidden="1" x14ac:dyDescent="0.25"/>
    <row r="169" spans="1:4" hidden="1" x14ac:dyDescent="0.25">
      <c r="A169" s="2"/>
      <c r="B169" s="9"/>
      <c r="C169" s="2"/>
      <c r="D169" s="2"/>
    </row>
    <row r="170" spans="1:4" hidden="1" x14ac:dyDescent="0.25">
      <c r="C170" s="2"/>
      <c r="D170" s="2"/>
    </row>
    <row r="171" spans="1:4" hidden="1" x14ac:dyDescent="0.25">
      <c r="A171" s="2"/>
      <c r="B171" s="9"/>
      <c r="C171" s="2"/>
      <c r="D171" s="2"/>
    </row>
    <row r="172" spans="1:4" hidden="1" x14ac:dyDescent="0.25">
      <c r="A172" s="2"/>
      <c r="B172" s="9"/>
      <c r="C172" s="2"/>
      <c r="D172" s="2"/>
    </row>
    <row r="173" spans="1:4" hidden="1" x14ac:dyDescent="0.25"/>
    <row r="174" spans="1:4" hidden="1" x14ac:dyDescent="0.25">
      <c r="C174" s="2"/>
      <c r="D174" s="2"/>
    </row>
    <row r="175" spans="1:4" hidden="1" x14ac:dyDescent="0.25">
      <c r="C175" s="2"/>
      <c r="D175" s="2"/>
    </row>
    <row r="176" spans="1:4" hidden="1" x14ac:dyDescent="0.25"/>
    <row r="177" spans="1:4" hidden="1" x14ac:dyDescent="0.25"/>
    <row r="178" spans="1:4" hidden="1" x14ac:dyDescent="0.25">
      <c r="A178"/>
      <c r="B178" s="12"/>
      <c r="C178"/>
      <c r="D178"/>
    </row>
    <row r="179" spans="1:4" hidden="1" x14ac:dyDescent="0.25">
      <c r="A179"/>
      <c r="B179" s="12"/>
      <c r="C179"/>
      <c r="D179"/>
    </row>
    <row r="180" spans="1:4" hidden="1" x14ac:dyDescent="0.25">
      <c r="A180"/>
      <c r="B180" s="12"/>
      <c r="C180"/>
      <c r="D180"/>
    </row>
    <row r="181" spans="1:4" hidden="1" x14ac:dyDescent="0.25">
      <c r="A181"/>
      <c r="B181" s="12"/>
      <c r="C181"/>
      <c r="D181"/>
    </row>
    <row r="182" spans="1:4" hidden="1" x14ac:dyDescent="0.25">
      <c r="A182"/>
      <c r="B182" s="12"/>
      <c r="C182"/>
      <c r="D182"/>
    </row>
    <row r="183" spans="1:4" hidden="1" x14ac:dyDescent="0.25">
      <c r="A183"/>
      <c r="B183" s="12"/>
      <c r="C183"/>
      <c r="D183"/>
    </row>
    <row r="184" spans="1:4" hidden="1" x14ac:dyDescent="0.25">
      <c r="A184"/>
      <c r="B184" s="12"/>
      <c r="C184"/>
      <c r="D184"/>
    </row>
    <row r="185" spans="1:4" hidden="1" x14ac:dyDescent="0.25">
      <c r="A185"/>
      <c r="B185" s="12"/>
      <c r="C185"/>
      <c r="D185"/>
    </row>
    <row r="186" spans="1:4" hidden="1" x14ac:dyDescent="0.25">
      <c r="A186"/>
      <c r="B186" s="12"/>
      <c r="C186"/>
      <c r="D186"/>
    </row>
    <row r="187" spans="1:4" hidden="1" x14ac:dyDescent="0.25">
      <c r="A187"/>
      <c r="B187" s="12"/>
      <c r="C187"/>
      <c r="D187"/>
    </row>
    <row r="188" spans="1:4" hidden="1" x14ac:dyDescent="0.25">
      <c r="A188"/>
      <c r="B188" s="12"/>
      <c r="C188"/>
      <c r="D188"/>
    </row>
    <row r="189" spans="1:4" hidden="1" x14ac:dyDescent="0.25">
      <c r="A189"/>
      <c r="B189" s="12"/>
      <c r="C189"/>
      <c r="D189"/>
    </row>
    <row r="190" spans="1:4" hidden="1" x14ac:dyDescent="0.25">
      <c r="A190"/>
      <c r="B190" s="12"/>
      <c r="C190"/>
      <c r="D190"/>
    </row>
    <row r="191" spans="1:4" hidden="1" x14ac:dyDescent="0.25">
      <c r="A191"/>
      <c r="B191" s="12"/>
      <c r="C191"/>
      <c r="D191"/>
    </row>
    <row r="192" spans="1:4" hidden="1" x14ac:dyDescent="0.25">
      <c r="A192"/>
      <c r="B192" s="12"/>
      <c r="C192"/>
      <c r="D192"/>
    </row>
    <row r="193" spans="1:4" hidden="1" x14ac:dyDescent="0.25">
      <c r="A193"/>
      <c r="B193" s="12"/>
      <c r="C193"/>
      <c r="D193"/>
    </row>
    <row r="194" spans="1:4" hidden="1" x14ac:dyDescent="0.25">
      <c r="A194"/>
      <c r="B194" s="12"/>
      <c r="C194"/>
      <c r="D194"/>
    </row>
    <row r="195" spans="1:4" hidden="1" x14ac:dyDescent="0.25">
      <c r="A195"/>
      <c r="B195" s="12"/>
      <c r="C195"/>
      <c r="D195"/>
    </row>
    <row r="196" spans="1:4" hidden="1" x14ac:dyDescent="0.25">
      <c r="A196"/>
      <c r="B196" s="12"/>
      <c r="C196"/>
      <c r="D196"/>
    </row>
    <row r="197" spans="1:4" hidden="1" x14ac:dyDescent="0.25">
      <c r="A197"/>
      <c r="B197" s="12"/>
      <c r="C197"/>
      <c r="D197"/>
    </row>
    <row r="198" spans="1:4" hidden="1" x14ac:dyDescent="0.25">
      <c r="A198"/>
      <c r="B198" s="12"/>
      <c r="C198"/>
      <c r="D198"/>
    </row>
    <row r="199" spans="1:4" hidden="1" x14ac:dyDescent="0.25">
      <c r="A199"/>
      <c r="B199" s="12"/>
      <c r="C199"/>
      <c r="D199"/>
    </row>
    <row r="200" spans="1:4" hidden="1" x14ac:dyDescent="0.25">
      <c r="A200"/>
      <c r="B200" s="12"/>
      <c r="C200"/>
      <c r="D200"/>
    </row>
    <row r="201" spans="1:4" hidden="1" x14ac:dyDescent="0.25">
      <c r="A201"/>
      <c r="B201" s="12"/>
      <c r="C201"/>
      <c r="D201"/>
    </row>
    <row r="202" spans="1:4" hidden="1" x14ac:dyDescent="0.25">
      <c r="A202"/>
      <c r="B202" s="12"/>
      <c r="C202"/>
      <c r="D202"/>
    </row>
    <row r="203" spans="1:4" hidden="1" x14ac:dyDescent="0.25">
      <c r="A203"/>
      <c r="B203" s="12"/>
      <c r="C203"/>
      <c r="D203"/>
    </row>
    <row r="204" spans="1:4" hidden="1" x14ac:dyDescent="0.25">
      <c r="A204"/>
      <c r="B204" s="12"/>
      <c r="C204"/>
      <c r="D204"/>
    </row>
    <row r="205" spans="1:4" hidden="1" x14ac:dyDescent="0.25">
      <c r="A205"/>
      <c r="B205" s="12"/>
      <c r="C205"/>
      <c r="D205"/>
    </row>
    <row r="206" spans="1:4" hidden="1" x14ac:dyDescent="0.25">
      <c r="A206"/>
      <c r="B206" s="12"/>
      <c r="C206"/>
      <c r="D206"/>
    </row>
    <row r="207" spans="1:4" hidden="1" x14ac:dyDescent="0.25">
      <c r="A207"/>
      <c r="B207" s="12"/>
      <c r="C207"/>
      <c r="D207"/>
    </row>
    <row r="208" spans="1:4" hidden="1" x14ac:dyDescent="0.25">
      <c r="A208"/>
      <c r="B208" s="12"/>
      <c r="C208"/>
      <c r="D208"/>
    </row>
    <row r="209" spans="1:4" hidden="1" x14ac:dyDescent="0.25">
      <c r="A209"/>
      <c r="B209" s="12"/>
      <c r="C209"/>
      <c r="D209"/>
    </row>
    <row r="210" spans="1:4" hidden="1" x14ac:dyDescent="0.25">
      <c r="A210"/>
      <c r="B210" s="12"/>
      <c r="C210"/>
      <c r="D210"/>
    </row>
    <row r="211" spans="1:4" hidden="1" x14ac:dyDescent="0.25">
      <c r="A211"/>
      <c r="B211" s="12"/>
      <c r="C211"/>
      <c r="D211"/>
    </row>
    <row r="212" spans="1:4" hidden="1" x14ac:dyDescent="0.25">
      <c r="A212"/>
      <c r="B212" s="12"/>
      <c r="C212"/>
      <c r="D212"/>
    </row>
    <row r="213" spans="1:4" hidden="1" x14ac:dyDescent="0.25">
      <c r="A213"/>
      <c r="B213" s="12"/>
      <c r="C213"/>
      <c r="D213"/>
    </row>
    <row r="214" spans="1:4" hidden="1" x14ac:dyDescent="0.25">
      <c r="A214"/>
      <c r="B214" s="12"/>
      <c r="C214"/>
      <c r="D214"/>
    </row>
    <row r="215" spans="1:4" hidden="1" x14ac:dyDescent="0.25">
      <c r="A215"/>
      <c r="B215" s="12"/>
      <c r="C215"/>
      <c r="D215"/>
    </row>
    <row r="216" spans="1:4" hidden="1" x14ac:dyDescent="0.25">
      <c r="A216"/>
      <c r="B216" s="12"/>
      <c r="C216"/>
      <c r="D216"/>
    </row>
    <row r="217" spans="1:4" hidden="1" x14ac:dyDescent="0.25">
      <c r="A217"/>
      <c r="B217" s="12"/>
      <c r="C217"/>
      <c r="D217"/>
    </row>
    <row r="218" spans="1:4" hidden="1" x14ac:dyDescent="0.25">
      <c r="A218"/>
      <c r="B218" s="12"/>
      <c r="C218"/>
      <c r="D218"/>
    </row>
    <row r="219" spans="1:4" hidden="1" x14ac:dyDescent="0.25">
      <c r="A219"/>
      <c r="B219" s="12"/>
      <c r="C219"/>
      <c r="D219"/>
    </row>
    <row r="220" spans="1:4" hidden="1" x14ac:dyDescent="0.25">
      <c r="A220"/>
      <c r="B220" s="12"/>
      <c r="C220"/>
      <c r="D220"/>
    </row>
    <row r="221" spans="1:4" hidden="1" x14ac:dyDescent="0.25">
      <c r="A221"/>
      <c r="B221" s="12"/>
      <c r="C221"/>
      <c r="D221"/>
    </row>
    <row r="222" spans="1:4" hidden="1" x14ac:dyDescent="0.25">
      <c r="A222"/>
      <c r="B222" s="12"/>
      <c r="C222"/>
      <c r="D222"/>
    </row>
    <row r="223" spans="1:4" hidden="1" x14ac:dyDescent="0.25">
      <c r="A223"/>
      <c r="B223" s="12"/>
      <c r="C223"/>
      <c r="D223"/>
    </row>
    <row r="224" spans="1:4" hidden="1" x14ac:dyDescent="0.25">
      <c r="A224"/>
      <c r="B224" s="12"/>
      <c r="C224"/>
      <c r="D224"/>
    </row>
    <row r="225" spans="1:4" hidden="1" x14ac:dyDescent="0.25">
      <c r="A225"/>
      <c r="B225" s="12"/>
      <c r="C225"/>
      <c r="D225"/>
    </row>
    <row r="226" spans="1:4" hidden="1" x14ac:dyDescent="0.25">
      <c r="A226"/>
      <c r="B226" s="12"/>
      <c r="C226"/>
      <c r="D226"/>
    </row>
    <row r="227" spans="1:4" hidden="1" x14ac:dyDescent="0.25">
      <c r="A227"/>
      <c r="B227" s="12"/>
      <c r="C227"/>
      <c r="D227"/>
    </row>
    <row r="228" spans="1:4" hidden="1" x14ac:dyDescent="0.25">
      <c r="A228"/>
      <c r="B228" s="12"/>
      <c r="C228"/>
      <c r="D228"/>
    </row>
    <row r="229" spans="1:4" hidden="1" x14ac:dyDescent="0.25">
      <c r="A229"/>
      <c r="B229" s="12"/>
      <c r="C229"/>
      <c r="D229"/>
    </row>
    <row r="230" spans="1:4" hidden="1" x14ac:dyDescent="0.25">
      <c r="A230"/>
      <c r="B230" s="12"/>
      <c r="C230"/>
      <c r="D230"/>
    </row>
    <row r="231" spans="1:4" hidden="1" x14ac:dyDescent="0.25">
      <c r="A231"/>
      <c r="B231" s="12"/>
      <c r="C231"/>
      <c r="D231"/>
    </row>
    <row r="232" spans="1:4" hidden="1" x14ac:dyDescent="0.25">
      <c r="A232"/>
      <c r="B232" s="12"/>
      <c r="C232"/>
      <c r="D232"/>
    </row>
    <row r="233" spans="1:4" hidden="1" x14ac:dyDescent="0.25">
      <c r="A233"/>
      <c r="B233" s="12"/>
      <c r="C233"/>
      <c r="D233"/>
    </row>
    <row r="234" spans="1:4" hidden="1" x14ac:dyDescent="0.25">
      <c r="A234"/>
      <c r="B234" s="12"/>
      <c r="C234"/>
      <c r="D234"/>
    </row>
    <row r="235" spans="1:4" hidden="1" x14ac:dyDescent="0.25">
      <c r="A235"/>
      <c r="B235" s="12"/>
      <c r="C235"/>
      <c r="D235"/>
    </row>
    <row r="236" spans="1:4" hidden="1" x14ac:dyDescent="0.25">
      <c r="A236"/>
      <c r="B236" s="12"/>
      <c r="C236"/>
      <c r="D236"/>
    </row>
    <row r="237" spans="1:4" hidden="1" x14ac:dyDescent="0.25">
      <c r="A237"/>
      <c r="B237" s="12"/>
      <c r="C237"/>
      <c r="D237"/>
    </row>
    <row r="238" spans="1:4" hidden="1" x14ac:dyDescent="0.25">
      <c r="A238"/>
      <c r="B238" s="12"/>
      <c r="C238"/>
      <c r="D238"/>
    </row>
    <row r="239" spans="1:4" hidden="1" x14ac:dyDescent="0.25">
      <c r="A239"/>
      <c r="B239" s="12"/>
      <c r="C239"/>
      <c r="D239"/>
    </row>
    <row r="240" spans="1:4" hidden="1" x14ac:dyDescent="0.25">
      <c r="A240"/>
      <c r="B240" s="12"/>
      <c r="C240"/>
      <c r="D240"/>
    </row>
    <row r="241" spans="1:4" hidden="1" x14ac:dyDescent="0.25">
      <c r="A241"/>
      <c r="B241" s="12"/>
      <c r="C241"/>
      <c r="D241"/>
    </row>
    <row r="242" spans="1:4" hidden="1" x14ac:dyDescent="0.25">
      <c r="A242"/>
      <c r="B242" s="12"/>
      <c r="C242"/>
      <c r="D242"/>
    </row>
    <row r="243" spans="1:4" hidden="1" x14ac:dyDescent="0.25">
      <c r="A243"/>
      <c r="B243" s="12"/>
      <c r="C243"/>
      <c r="D243"/>
    </row>
    <row r="244" spans="1:4" hidden="1" x14ac:dyDescent="0.25">
      <c r="A244"/>
      <c r="B244" s="12"/>
      <c r="C244"/>
      <c r="D244"/>
    </row>
    <row r="245" spans="1:4" hidden="1" x14ac:dyDescent="0.25">
      <c r="A245"/>
      <c r="B245" s="12"/>
      <c r="C245"/>
      <c r="D245"/>
    </row>
    <row r="246" spans="1:4" hidden="1" x14ac:dyDescent="0.25">
      <c r="A246"/>
      <c r="B246" s="12"/>
      <c r="C246"/>
      <c r="D246"/>
    </row>
    <row r="247" spans="1:4" hidden="1" x14ac:dyDescent="0.25">
      <c r="A247"/>
      <c r="B247" s="12"/>
      <c r="C247"/>
      <c r="D247"/>
    </row>
    <row r="248" spans="1:4" hidden="1" x14ac:dyDescent="0.25">
      <c r="A248"/>
      <c r="B248" s="12"/>
      <c r="C248"/>
      <c r="D248"/>
    </row>
    <row r="249" spans="1:4" hidden="1" x14ac:dyDescent="0.25">
      <c r="A249"/>
      <c r="B249" s="12"/>
      <c r="C249"/>
      <c r="D249"/>
    </row>
    <row r="250" spans="1:4" hidden="1" x14ac:dyDescent="0.25">
      <c r="A250"/>
      <c r="B250" s="12"/>
      <c r="C250"/>
      <c r="D250"/>
    </row>
    <row r="251" spans="1:4" hidden="1" x14ac:dyDescent="0.25">
      <c r="A251"/>
      <c r="B251" s="12"/>
      <c r="C251"/>
      <c r="D251"/>
    </row>
    <row r="252" spans="1:4" hidden="1" x14ac:dyDescent="0.25">
      <c r="A252"/>
      <c r="B252" s="12"/>
      <c r="C252"/>
      <c r="D252"/>
    </row>
    <row r="253" spans="1:4" hidden="1" x14ac:dyDescent="0.25">
      <c r="A253"/>
      <c r="B253" s="12"/>
      <c r="C253"/>
      <c r="D253"/>
    </row>
    <row r="254" spans="1:4" hidden="1" x14ac:dyDescent="0.25">
      <c r="A254"/>
      <c r="B254" s="12"/>
      <c r="C254"/>
      <c r="D254"/>
    </row>
    <row r="255" spans="1:4" hidden="1" x14ac:dyDescent="0.25">
      <c r="A255"/>
      <c r="B255" s="12"/>
      <c r="C255"/>
      <c r="D255"/>
    </row>
    <row r="256" spans="1:4" hidden="1" x14ac:dyDescent="0.25">
      <c r="A256"/>
      <c r="B256" s="12"/>
      <c r="C256"/>
      <c r="D256"/>
    </row>
    <row r="257" spans="1:4" hidden="1" x14ac:dyDescent="0.25">
      <c r="A257"/>
      <c r="B257" s="12"/>
      <c r="C257"/>
      <c r="D257"/>
    </row>
    <row r="258" spans="1:4" hidden="1" x14ac:dyDescent="0.25">
      <c r="A258"/>
      <c r="B258" s="12"/>
      <c r="C258"/>
      <c r="D258"/>
    </row>
    <row r="259" spans="1:4" hidden="1" x14ac:dyDescent="0.25">
      <c r="A259"/>
      <c r="B259" s="12"/>
      <c r="C259"/>
      <c r="D259"/>
    </row>
    <row r="260" spans="1:4" hidden="1" x14ac:dyDescent="0.25">
      <c r="A260"/>
      <c r="B260" s="12"/>
      <c r="C260"/>
      <c r="D260"/>
    </row>
    <row r="261" spans="1:4" hidden="1" x14ac:dyDescent="0.25">
      <c r="A261"/>
      <c r="B261" s="12"/>
      <c r="C261"/>
      <c r="D261"/>
    </row>
    <row r="262" spans="1:4" hidden="1" x14ac:dyDescent="0.25">
      <c r="A262"/>
      <c r="B262" s="12"/>
      <c r="C262"/>
      <c r="D262"/>
    </row>
    <row r="263" spans="1:4" hidden="1" x14ac:dyDescent="0.25">
      <c r="A263"/>
      <c r="B263" s="12"/>
      <c r="C263"/>
      <c r="D263"/>
    </row>
    <row r="264" spans="1:4" hidden="1" x14ac:dyDescent="0.25">
      <c r="A264"/>
      <c r="B264" s="12"/>
      <c r="C264"/>
      <c r="D264"/>
    </row>
    <row r="265" spans="1:4" hidden="1" x14ac:dyDescent="0.25">
      <c r="A265"/>
      <c r="B265" s="12"/>
      <c r="C265"/>
      <c r="D265"/>
    </row>
    <row r="266" spans="1:4" hidden="1" x14ac:dyDescent="0.25">
      <c r="A266"/>
      <c r="B266" s="12"/>
      <c r="C266"/>
      <c r="D266"/>
    </row>
    <row r="267" spans="1:4" hidden="1" x14ac:dyDescent="0.25">
      <c r="A267"/>
      <c r="B267" s="12"/>
      <c r="C267"/>
      <c r="D267"/>
    </row>
    <row r="268" spans="1:4" hidden="1" x14ac:dyDescent="0.25">
      <c r="A268"/>
      <c r="B268" s="12"/>
      <c r="C268"/>
      <c r="D268"/>
    </row>
    <row r="269" spans="1:4" hidden="1" x14ac:dyDescent="0.25">
      <c r="A269"/>
      <c r="B269" s="12"/>
      <c r="C269"/>
      <c r="D269"/>
    </row>
    <row r="270" spans="1:4" hidden="1" x14ac:dyDescent="0.25">
      <c r="A270"/>
      <c r="B270" s="12"/>
      <c r="C270"/>
      <c r="D270"/>
    </row>
    <row r="271" spans="1:4" hidden="1" x14ac:dyDescent="0.25">
      <c r="A271"/>
      <c r="B271" s="12"/>
      <c r="C271"/>
      <c r="D271"/>
    </row>
    <row r="272" spans="1:4" hidden="1" x14ac:dyDescent="0.25">
      <c r="A272"/>
      <c r="B272" s="12"/>
      <c r="C272"/>
      <c r="D272"/>
    </row>
    <row r="273" spans="1:4" hidden="1" x14ac:dyDescent="0.25">
      <c r="A273"/>
      <c r="B273" s="12"/>
      <c r="C273"/>
      <c r="D273"/>
    </row>
    <row r="274" spans="1:4" hidden="1" x14ac:dyDescent="0.25">
      <c r="A274"/>
      <c r="B274" s="12"/>
      <c r="C274"/>
      <c r="D274"/>
    </row>
    <row r="275" spans="1:4" hidden="1" x14ac:dyDescent="0.25">
      <c r="A275"/>
      <c r="B275" s="12"/>
      <c r="C275"/>
      <c r="D275"/>
    </row>
    <row r="276" spans="1:4" hidden="1" x14ac:dyDescent="0.25">
      <c r="A276"/>
      <c r="B276" s="12"/>
      <c r="C276"/>
      <c r="D276"/>
    </row>
    <row r="277" spans="1:4" hidden="1" x14ac:dyDescent="0.25">
      <c r="A277"/>
      <c r="B277" s="12"/>
      <c r="C277"/>
      <c r="D277"/>
    </row>
    <row r="278" spans="1:4" hidden="1" x14ac:dyDescent="0.25">
      <c r="A278"/>
      <c r="B278" s="12"/>
      <c r="C278"/>
      <c r="D278"/>
    </row>
    <row r="279" spans="1:4" hidden="1" x14ac:dyDescent="0.25">
      <c r="A279"/>
      <c r="B279" s="12"/>
      <c r="C279"/>
      <c r="D279"/>
    </row>
    <row r="280" spans="1:4" hidden="1" x14ac:dyDescent="0.25">
      <c r="A280"/>
      <c r="B280" s="12"/>
      <c r="C280"/>
      <c r="D280"/>
    </row>
    <row r="281" spans="1:4" hidden="1" x14ac:dyDescent="0.25">
      <c r="A281"/>
      <c r="B281" s="12"/>
      <c r="C281"/>
      <c r="D281"/>
    </row>
    <row r="282" spans="1:4" hidden="1" x14ac:dyDescent="0.25">
      <c r="A282"/>
      <c r="B282" s="12"/>
      <c r="C282"/>
      <c r="D282"/>
    </row>
    <row r="283" spans="1:4" hidden="1" x14ac:dyDescent="0.25">
      <c r="A283"/>
      <c r="B283" s="12"/>
      <c r="C283"/>
      <c r="D283"/>
    </row>
    <row r="284" spans="1:4" hidden="1" x14ac:dyDescent="0.25">
      <c r="A284"/>
      <c r="B284" s="12"/>
      <c r="C284"/>
      <c r="D284"/>
    </row>
    <row r="285" spans="1:4" hidden="1" x14ac:dyDescent="0.25">
      <c r="A285"/>
      <c r="B285" s="12"/>
      <c r="C285"/>
      <c r="D285"/>
    </row>
    <row r="286" spans="1:4" hidden="1" x14ac:dyDescent="0.25">
      <c r="A286"/>
      <c r="B286" s="12"/>
      <c r="C286"/>
      <c r="D286"/>
    </row>
    <row r="287" spans="1:4" hidden="1" x14ac:dyDescent="0.25">
      <c r="A287"/>
      <c r="B287" s="12"/>
      <c r="C287"/>
      <c r="D287"/>
    </row>
    <row r="288" spans="1:4" hidden="1" x14ac:dyDescent="0.25">
      <c r="A288"/>
      <c r="B288" s="12"/>
      <c r="C288"/>
      <c r="D288"/>
    </row>
    <row r="289" spans="1:4" hidden="1" x14ac:dyDescent="0.25">
      <c r="A289"/>
      <c r="B289" s="12"/>
      <c r="C289"/>
      <c r="D289"/>
    </row>
    <row r="290" spans="1:4" hidden="1" x14ac:dyDescent="0.25">
      <c r="A290"/>
      <c r="B290" s="12"/>
      <c r="C290"/>
      <c r="D290"/>
    </row>
    <row r="291" spans="1:4" hidden="1" x14ac:dyDescent="0.25">
      <c r="A291"/>
      <c r="B291" s="12"/>
      <c r="C291"/>
      <c r="D291"/>
    </row>
    <row r="292" spans="1:4" hidden="1" x14ac:dyDescent="0.25">
      <c r="A292"/>
      <c r="B292" s="12"/>
      <c r="C292"/>
      <c r="D292"/>
    </row>
    <row r="293" spans="1:4" hidden="1" x14ac:dyDescent="0.25">
      <c r="A293"/>
      <c r="B293" s="12"/>
      <c r="C293"/>
      <c r="D293"/>
    </row>
    <row r="294" spans="1:4" hidden="1" x14ac:dyDescent="0.25">
      <c r="A294"/>
      <c r="B294" s="12"/>
      <c r="C294"/>
      <c r="D294"/>
    </row>
    <row r="295" spans="1:4" hidden="1" x14ac:dyDescent="0.25">
      <c r="A295"/>
      <c r="B295" s="12"/>
      <c r="C295"/>
      <c r="D295"/>
    </row>
    <row r="296" spans="1:4" hidden="1" x14ac:dyDescent="0.25">
      <c r="A296"/>
      <c r="B296" s="12"/>
      <c r="C296"/>
      <c r="D296"/>
    </row>
    <row r="297" spans="1:4" hidden="1" x14ac:dyDescent="0.25">
      <c r="A297"/>
      <c r="B297" s="12"/>
      <c r="C297"/>
      <c r="D297"/>
    </row>
    <row r="298" spans="1:4" hidden="1" x14ac:dyDescent="0.25">
      <c r="A298"/>
      <c r="B298" s="12"/>
      <c r="C298"/>
      <c r="D298"/>
    </row>
    <row r="299" spans="1:4" hidden="1" x14ac:dyDescent="0.25">
      <c r="A299"/>
      <c r="B299" s="12"/>
      <c r="C299"/>
      <c r="D299"/>
    </row>
    <row r="300" spans="1:4" hidden="1" x14ac:dyDescent="0.25">
      <c r="A300"/>
      <c r="B300" s="12"/>
      <c r="C300"/>
      <c r="D300"/>
    </row>
    <row r="301" spans="1:4" hidden="1" x14ac:dyDescent="0.25">
      <c r="A301"/>
      <c r="B301" s="12"/>
      <c r="C301"/>
      <c r="D301"/>
    </row>
    <row r="302" spans="1:4" hidden="1" x14ac:dyDescent="0.25">
      <c r="A302"/>
      <c r="B302" s="12"/>
      <c r="C302"/>
      <c r="D302"/>
    </row>
    <row r="303" spans="1:4" hidden="1" x14ac:dyDescent="0.25">
      <c r="A303"/>
      <c r="B303" s="12"/>
      <c r="C303"/>
      <c r="D303"/>
    </row>
    <row r="304" spans="1:4" hidden="1" x14ac:dyDescent="0.25">
      <c r="A304"/>
      <c r="B304" s="12"/>
      <c r="C304"/>
      <c r="D304"/>
    </row>
    <row r="305" spans="1:4" hidden="1" x14ac:dyDescent="0.25">
      <c r="A305"/>
      <c r="B305" s="12"/>
      <c r="C305"/>
      <c r="D305"/>
    </row>
    <row r="306" spans="1:4" hidden="1" x14ac:dyDescent="0.25"/>
    <row r="307" spans="1:4" hidden="1" x14ac:dyDescent="0.25"/>
    <row r="308" spans="1:4" hidden="1" x14ac:dyDescent="0.25"/>
    <row r="309" spans="1:4" hidden="1" x14ac:dyDescent="0.25"/>
  </sheetData>
  <autoFilter ref="A1:M309" xr:uid="{7468A0B9-3054-49F4-8680-2A5BEADEDC72}">
    <filterColumn colId="6">
      <customFilters>
        <customFilter operator="notEqual" val=" "/>
      </customFilters>
    </filterColumn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4C69-1B62-4610-89C3-9EB10D4B7629}">
  <dimension ref="A1:A99"/>
  <sheetViews>
    <sheetView workbookViewId="0">
      <selection sqref="A1:A1048576"/>
    </sheetView>
  </sheetViews>
  <sheetFormatPr defaultRowHeight="15" x14ac:dyDescent="0.25"/>
  <cols>
    <col min="1" max="1" width="35.85546875" customWidth="1"/>
  </cols>
  <sheetData>
    <row r="1" spans="1:1" x14ac:dyDescent="0.25">
      <c r="A1" s="6" t="s">
        <v>156</v>
      </c>
    </row>
    <row r="2" spans="1:1" x14ac:dyDescent="0.25">
      <c r="A2" s="7" t="s">
        <v>77</v>
      </c>
    </row>
    <row r="3" spans="1:1" x14ac:dyDescent="0.25">
      <c r="A3" s="7" t="s">
        <v>76</v>
      </c>
    </row>
    <row r="4" spans="1:1" x14ac:dyDescent="0.25">
      <c r="A4" s="6" t="s">
        <v>180</v>
      </c>
    </row>
    <row r="5" spans="1:1" x14ac:dyDescent="0.25">
      <c r="A5" s="7" t="s">
        <v>181</v>
      </c>
    </row>
    <row r="6" spans="1:1" x14ac:dyDescent="0.25">
      <c r="A6" s="6" t="s">
        <v>72</v>
      </c>
    </row>
    <row r="7" spans="1:1" x14ac:dyDescent="0.25">
      <c r="A7" s="7" t="s">
        <v>157</v>
      </c>
    </row>
    <row r="8" spans="1:1" x14ac:dyDescent="0.25">
      <c r="A8" s="6" t="s">
        <v>182</v>
      </c>
    </row>
    <row r="9" spans="1:1" x14ac:dyDescent="0.25">
      <c r="A9" s="7" t="s">
        <v>158</v>
      </c>
    </row>
    <row r="10" spans="1:1" x14ac:dyDescent="0.25">
      <c r="A10" s="6" t="s">
        <v>67</v>
      </c>
    </row>
    <row r="11" spans="1:1" x14ac:dyDescent="0.25">
      <c r="A11" s="7" t="s">
        <v>183</v>
      </c>
    </row>
    <row r="12" spans="1:1" x14ac:dyDescent="0.25">
      <c r="A12" s="6" t="s">
        <v>184</v>
      </c>
    </row>
    <row r="13" spans="1:1" x14ac:dyDescent="0.25">
      <c r="A13" s="7" t="s">
        <v>185</v>
      </c>
    </row>
    <row r="14" spans="1:1" x14ac:dyDescent="0.25">
      <c r="A14" s="6" t="s">
        <v>150</v>
      </c>
    </row>
    <row r="15" spans="1:1" x14ac:dyDescent="0.25">
      <c r="A15" s="7" t="s">
        <v>159</v>
      </c>
    </row>
    <row r="16" spans="1:1" x14ac:dyDescent="0.25">
      <c r="A16" s="6" t="s">
        <v>160</v>
      </c>
    </row>
    <row r="17" spans="1:1" x14ac:dyDescent="0.25">
      <c r="A17" s="7" t="s">
        <v>186</v>
      </c>
    </row>
    <row r="18" spans="1:1" x14ac:dyDescent="0.25">
      <c r="A18" s="7" t="s">
        <v>187</v>
      </c>
    </row>
    <row r="19" spans="1:1" x14ac:dyDescent="0.25">
      <c r="A19" s="7" t="s">
        <v>188</v>
      </c>
    </row>
    <row r="20" spans="1:1" x14ac:dyDescent="0.25">
      <c r="A20" s="7" t="s">
        <v>127</v>
      </c>
    </row>
    <row r="21" spans="1:1" x14ac:dyDescent="0.25">
      <c r="A21" s="7" t="s">
        <v>161</v>
      </c>
    </row>
    <row r="22" spans="1:1" x14ac:dyDescent="0.25">
      <c r="A22" s="6" t="s">
        <v>162</v>
      </c>
    </row>
    <row r="23" spans="1:1" x14ac:dyDescent="0.25">
      <c r="A23" s="7" t="s">
        <v>189</v>
      </c>
    </row>
    <row r="24" spans="1:1" x14ac:dyDescent="0.25">
      <c r="A24" s="6" t="s">
        <v>163</v>
      </c>
    </row>
    <row r="25" spans="1:1" x14ac:dyDescent="0.25">
      <c r="A25" s="7" t="s">
        <v>164</v>
      </c>
    </row>
    <row r="26" spans="1:1" x14ac:dyDescent="0.25">
      <c r="A26" s="6" t="s">
        <v>190</v>
      </c>
    </row>
    <row r="27" spans="1:1" x14ac:dyDescent="0.25">
      <c r="A27" s="7" t="s">
        <v>165</v>
      </c>
    </row>
    <row r="28" spans="1:1" x14ac:dyDescent="0.25">
      <c r="A28" s="6" t="s">
        <v>191</v>
      </c>
    </row>
    <row r="29" spans="1:1" x14ac:dyDescent="0.25">
      <c r="A29" s="7" t="s">
        <v>166</v>
      </c>
    </row>
    <row r="30" spans="1:1" x14ac:dyDescent="0.25">
      <c r="A30" s="6" t="s">
        <v>151</v>
      </c>
    </row>
    <row r="31" spans="1:1" x14ac:dyDescent="0.25">
      <c r="A31" s="7" t="s">
        <v>192</v>
      </c>
    </row>
    <row r="32" spans="1:1" x14ac:dyDescent="0.25">
      <c r="A32" s="6" t="s">
        <v>193</v>
      </c>
    </row>
    <row r="33" spans="1:1" x14ac:dyDescent="0.25">
      <c r="A33" s="7" t="s">
        <v>194</v>
      </c>
    </row>
    <row r="34" spans="1:1" x14ac:dyDescent="0.25">
      <c r="A34" s="6" t="s">
        <v>46</v>
      </c>
    </row>
    <row r="35" spans="1:1" x14ac:dyDescent="0.25">
      <c r="A35" s="7" t="s">
        <v>195</v>
      </c>
    </row>
    <row r="36" spans="1:1" x14ac:dyDescent="0.25">
      <c r="A36" s="7" t="s">
        <v>196</v>
      </c>
    </row>
    <row r="37" spans="1:1" x14ac:dyDescent="0.25">
      <c r="A37" s="6" t="s">
        <v>167</v>
      </c>
    </row>
    <row r="38" spans="1:1" x14ac:dyDescent="0.25">
      <c r="A38" s="7" t="s">
        <v>168</v>
      </c>
    </row>
    <row r="39" spans="1:1" x14ac:dyDescent="0.25">
      <c r="A39" s="6" t="s">
        <v>197</v>
      </c>
    </row>
    <row r="40" spans="1:1" x14ac:dyDescent="0.25">
      <c r="A40" s="7" t="s">
        <v>198</v>
      </c>
    </row>
    <row r="41" spans="1:1" x14ac:dyDescent="0.25">
      <c r="A41" s="6" t="s">
        <v>169</v>
      </c>
    </row>
    <row r="42" spans="1:1" x14ac:dyDescent="0.25">
      <c r="A42" s="7" t="s">
        <v>152</v>
      </c>
    </row>
    <row r="43" spans="1:1" x14ac:dyDescent="0.25">
      <c r="A43" s="7" t="s">
        <v>199</v>
      </c>
    </row>
    <row r="44" spans="1:1" x14ac:dyDescent="0.25">
      <c r="A44" s="6" t="s">
        <v>170</v>
      </c>
    </row>
    <row r="45" spans="1:1" x14ac:dyDescent="0.25">
      <c r="A45" s="7" t="s">
        <v>200</v>
      </c>
    </row>
    <row r="46" spans="1:1" x14ac:dyDescent="0.25">
      <c r="A46" s="6" t="s">
        <v>171</v>
      </c>
    </row>
    <row r="47" spans="1:1" x14ac:dyDescent="0.25">
      <c r="A47" s="7" t="s">
        <v>201</v>
      </c>
    </row>
    <row r="48" spans="1:1" x14ac:dyDescent="0.25">
      <c r="A48" s="6" t="s">
        <v>172</v>
      </c>
    </row>
    <row r="49" spans="1:1" x14ac:dyDescent="0.25">
      <c r="A49" s="7" t="s">
        <v>153</v>
      </c>
    </row>
    <row r="50" spans="1:1" x14ac:dyDescent="0.25">
      <c r="A50" s="6" t="s">
        <v>202</v>
      </c>
    </row>
    <row r="51" spans="1:1" x14ac:dyDescent="0.25">
      <c r="A51" s="7" t="s">
        <v>203</v>
      </c>
    </row>
    <row r="52" spans="1:1" x14ac:dyDescent="0.25">
      <c r="A52" s="6" t="s">
        <v>204</v>
      </c>
    </row>
    <row r="53" spans="1:1" x14ac:dyDescent="0.25">
      <c r="A53" s="7" t="s">
        <v>154</v>
      </c>
    </row>
    <row r="54" spans="1:1" x14ac:dyDescent="0.25">
      <c r="A54" s="6" t="s">
        <v>205</v>
      </c>
    </row>
    <row r="55" spans="1:1" x14ac:dyDescent="0.25">
      <c r="A55" s="7" t="s">
        <v>206</v>
      </c>
    </row>
    <row r="56" spans="1:1" x14ac:dyDescent="0.25">
      <c r="A56" s="6" t="s">
        <v>207</v>
      </c>
    </row>
    <row r="57" spans="1:1" x14ac:dyDescent="0.25">
      <c r="A57" s="7" t="s">
        <v>208</v>
      </c>
    </row>
    <row r="58" spans="1:1" x14ac:dyDescent="0.25">
      <c r="A58" s="6" t="s">
        <v>173</v>
      </c>
    </row>
    <row r="59" spans="1:1" x14ac:dyDescent="0.25">
      <c r="A59" s="7" t="s">
        <v>209</v>
      </c>
    </row>
    <row r="60" spans="1:1" x14ac:dyDescent="0.25">
      <c r="A60" s="6" t="s">
        <v>174</v>
      </c>
    </row>
    <row r="61" spans="1:1" x14ac:dyDescent="0.25">
      <c r="A61" s="7" t="s">
        <v>210</v>
      </c>
    </row>
    <row r="62" spans="1:1" x14ac:dyDescent="0.25">
      <c r="A62" s="6" t="s">
        <v>155</v>
      </c>
    </row>
    <row r="63" spans="1:1" x14ac:dyDescent="0.25">
      <c r="A63" s="7" t="s">
        <v>211</v>
      </c>
    </row>
    <row r="64" spans="1:1" x14ac:dyDescent="0.25">
      <c r="A64" s="6" t="s">
        <v>104</v>
      </c>
    </row>
    <row r="65" spans="1:1" x14ac:dyDescent="0.25">
      <c r="A65" s="7" t="s">
        <v>175</v>
      </c>
    </row>
    <row r="66" spans="1:1" x14ac:dyDescent="0.25">
      <c r="A66" s="6" t="s">
        <v>176</v>
      </c>
    </row>
    <row r="67" spans="1:1" x14ac:dyDescent="0.25">
      <c r="A67" s="7" t="s">
        <v>212</v>
      </c>
    </row>
    <row r="68" spans="1:1" x14ac:dyDescent="0.25">
      <c r="A68" s="6" t="s">
        <v>213</v>
      </c>
    </row>
    <row r="69" spans="1:1" x14ac:dyDescent="0.25">
      <c r="A69" s="7" t="s">
        <v>214</v>
      </c>
    </row>
    <row r="70" spans="1:1" x14ac:dyDescent="0.25">
      <c r="A70" s="6" t="s">
        <v>215</v>
      </c>
    </row>
    <row r="71" spans="1:1" x14ac:dyDescent="0.25">
      <c r="A71" s="6" t="s">
        <v>216</v>
      </c>
    </row>
    <row r="72" spans="1:1" x14ac:dyDescent="0.25">
      <c r="A72" s="7" t="s">
        <v>217</v>
      </c>
    </row>
    <row r="73" spans="1:1" x14ac:dyDescent="0.25">
      <c r="A73" s="6" t="s">
        <v>218</v>
      </c>
    </row>
    <row r="74" spans="1:1" x14ac:dyDescent="0.25">
      <c r="A74" s="7" t="s">
        <v>219</v>
      </c>
    </row>
    <row r="75" spans="1:1" x14ac:dyDescent="0.25">
      <c r="A75" s="6" t="s">
        <v>220</v>
      </c>
    </row>
    <row r="76" spans="1:1" x14ac:dyDescent="0.25">
      <c r="A76" s="6" t="s">
        <v>221</v>
      </c>
    </row>
    <row r="77" spans="1:1" x14ac:dyDescent="0.25">
      <c r="A77" s="6" t="s">
        <v>222</v>
      </c>
    </row>
    <row r="78" spans="1:1" x14ac:dyDescent="0.25">
      <c r="A78" s="7" t="s">
        <v>223</v>
      </c>
    </row>
    <row r="79" spans="1:1" x14ac:dyDescent="0.25">
      <c r="A79" s="6" t="s">
        <v>224</v>
      </c>
    </row>
    <row r="80" spans="1:1" x14ac:dyDescent="0.25">
      <c r="A80" s="7" t="s">
        <v>225</v>
      </c>
    </row>
    <row r="81" spans="1:1" x14ac:dyDescent="0.25">
      <c r="A81" s="6" t="s">
        <v>226</v>
      </c>
    </row>
    <row r="82" spans="1:1" x14ac:dyDescent="0.25">
      <c r="A82" s="7" t="s">
        <v>227</v>
      </c>
    </row>
    <row r="83" spans="1:1" x14ac:dyDescent="0.25">
      <c r="A83" s="6" t="s">
        <v>228</v>
      </c>
    </row>
    <row r="84" spans="1:1" x14ac:dyDescent="0.25">
      <c r="A84" s="7" t="s">
        <v>229</v>
      </c>
    </row>
    <row r="85" spans="1:1" x14ac:dyDescent="0.25">
      <c r="A85" s="7" t="s">
        <v>230</v>
      </c>
    </row>
    <row r="86" spans="1:1" x14ac:dyDescent="0.25">
      <c r="A86" s="7" t="s">
        <v>231</v>
      </c>
    </row>
    <row r="87" spans="1:1" x14ac:dyDescent="0.25">
      <c r="A87" s="6" t="s">
        <v>177</v>
      </c>
    </row>
    <row r="88" spans="1:1" x14ac:dyDescent="0.25">
      <c r="A88" s="7" t="s">
        <v>18</v>
      </c>
    </row>
    <row r="89" spans="1:1" x14ac:dyDescent="0.25">
      <c r="A89" s="7" t="s">
        <v>232</v>
      </c>
    </row>
    <row r="90" spans="1:1" x14ac:dyDescent="0.25">
      <c r="A90" s="6" t="s">
        <v>233</v>
      </c>
    </row>
    <row r="91" spans="1:1" x14ac:dyDescent="0.25">
      <c r="A91" s="7" t="s">
        <v>178</v>
      </c>
    </row>
    <row r="92" spans="1:1" x14ac:dyDescent="0.25">
      <c r="A92" s="6" t="s">
        <v>234</v>
      </c>
    </row>
    <row r="93" spans="1:1" x14ac:dyDescent="0.25">
      <c r="A93" s="6" t="s">
        <v>13</v>
      </c>
    </row>
    <row r="94" spans="1:1" x14ac:dyDescent="0.25">
      <c r="A94" s="7" t="s">
        <v>235</v>
      </c>
    </row>
    <row r="95" spans="1:1" x14ac:dyDescent="0.25">
      <c r="A95" s="6" t="s">
        <v>236</v>
      </c>
    </row>
    <row r="96" spans="1:1" x14ac:dyDescent="0.25">
      <c r="A96" s="7" t="s">
        <v>179</v>
      </c>
    </row>
    <row r="97" spans="1:1" x14ac:dyDescent="0.25">
      <c r="A97" s="6" t="s">
        <v>237</v>
      </c>
    </row>
    <row r="98" spans="1:1" x14ac:dyDescent="0.25">
      <c r="A98" s="7" t="s">
        <v>4</v>
      </c>
    </row>
    <row r="99" spans="1:1" x14ac:dyDescent="0.25">
      <c r="A99" s="7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FF21-0110-473E-AF2C-FAEEEE9E5AA6}">
  <dimension ref="A1:A229"/>
  <sheetViews>
    <sheetView tabSelected="1" workbookViewId="0"/>
  </sheetViews>
  <sheetFormatPr defaultRowHeight="15" x14ac:dyDescent="0.25"/>
  <cols>
    <col min="1" max="1" width="49.85546875" customWidth="1"/>
  </cols>
  <sheetData>
    <row r="1" spans="1:1" x14ac:dyDescent="0.25">
      <c r="A1" t="s">
        <v>426</v>
      </c>
    </row>
    <row r="2" spans="1:1" x14ac:dyDescent="0.25">
      <c r="A2" t="s">
        <v>264</v>
      </c>
    </row>
    <row r="3" spans="1:1" x14ac:dyDescent="0.25">
      <c r="A3" t="s">
        <v>265</v>
      </c>
    </row>
    <row r="4" spans="1:1" x14ac:dyDescent="0.25">
      <c r="A4" t="s">
        <v>138</v>
      </c>
    </row>
    <row r="5" spans="1:1" x14ac:dyDescent="0.25">
      <c r="A5" t="s">
        <v>78</v>
      </c>
    </row>
    <row r="6" spans="1:1" x14ac:dyDescent="0.25">
      <c r="A6" t="s">
        <v>137</v>
      </c>
    </row>
    <row r="7" spans="1:1" x14ac:dyDescent="0.25">
      <c r="A7" t="s">
        <v>266</v>
      </c>
    </row>
    <row r="8" spans="1:1" x14ac:dyDescent="0.25">
      <c r="A8" t="s">
        <v>267</v>
      </c>
    </row>
    <row r="9" spans="1:1" x14ac:dyDescent="0.25">
      <c r="A9" t="s">
        <v>268</v>
      </c>
    </row>
    <row r="10" spans="1:1" x14ac:dyDescent="0.25">
      <c r="A10" t="s">
        <v>269</v>
      </c>
    </row>
    <row r="11" spans="1:1" x14ac:dyDescent="0.25">
      <c r="A11" t="s">
        <v>270</v>
      </c>
    </row>
    <row r="12" spans="1:1" x14ac:dyDescent="0.25">
      <c r="A12" t="s">
        <v>271</v>
      </c>
    </row>
    <row r="13" spans="1:1" x14ac:dyDescent="0.25">
      <c r="A13" t="s">
        <v>272</v>
      </c>
    </row>
    <row r="14" spans="1:1" x14ac:dyDescent="0.25">
      <c r="A14" t="s">
        <v>273</v>
      </c>
    </row>
    <row r="15" spans="1:1" x14ac:dyDescent="0.25">
      <c r="A15" t="s">
        <v>274</v>
      </c>
    </row>
    <row r="16" spans="1:1" x14ac:dyDescent="0.25">
      <c r="A16" t="s">
        <v>275</v>
      </c>
    </row>
    <row r="17" spans="1:1" x14ac:dyDescent="0.25">
      <c r="A17" t="s">
        <v>276</v>
      </c>
    </row>
    <row r="18" spans="1:1" x14ac:dyDescent="0.25">
      <c r="A18" t="s">
        <v>277</v>
      </c>
    </row>
    <row r="19" spans="1:1" x14ac:dyDescent="0.25">
      <c r="A19" t="s">
        <v>278</v>
      </c>
    </row>
    <row r="20" spans="1:1" x14ac:dyDescent="0.25">
      <c r="A20" t="s">
        <v>279</v>
      </c>
    </row>
    <row r="21" spans="1:1" x14ac:dyDescent="0.25">
      <c r="A21" t="s">
        <v>280</v>
      </c>
    </row>
    <row r="22" spans="1:1" x14ac:dyDescent="0.25">
      <c r="A22" t="s">
        <v>281</v>
      </c>
    </row>
    <row r="23" spans="1:1" x14ac:dyDescent="0.25">
      <c r="A23" t="s">
        <v>71</v>
      </c>
    </row>
    <row r="24" spans="1:1" x14ac:dyDescent="0.25">
      <c r="A24" t="s">
        <v>282</v>
      </c>
    </row>
    <row r="25" spans="1:1" x14ac:dyDescent="0.25">
      <c r="A25" t="s">
        <v>283</v>
      </c>
    </row>
    <row r="26" spans="1:1" x14ac:dyDescent="0.25">
      <c r="A26" t="s">
        <v>284</v>
      </c>
    </row>
    <row r="27" spans="1:1" x14ac:dyDescent="0.25">
      <c r="A27" t="s">
        <v>285</v>
      </c>
    </row>
    <row r="28" spans="1:1" x14ac:dyDescent="0.25">
      <c r="A28" t="s">
        <v>286</v>
      </c>
    </row>
    <row r="29" spans="1:1" x14ac:dyDescent="0.25">
      <c r="A29" t="s">
        <v>287</v>
      </c>
    </row>
    <row r="30" spans="1:1" x14ac:dyDescent="0.25">
      <c r="A30" t="s">
        <v>288</v>
      </c>
    </row>
    <row r="31" spans="1:1" x14ac:dyDescent="0.25">
      <c r="A31" t="s">
        <v>289</v>
      </c>
    </row>
    <row r="32" spans="1:1" x14ac:dyDescent="0.25">
      <c r="A32" t="s">
        <v>134</v>
      </c>
    </row>
    <row r="33" spans="1:1" x14ac:dyDescent="0.25">
      <c r="A33" t="s">
        <v>133</v>
      </c>
    </row>
    <row r="34" spans="1:1" x14ac:dyDescent="0.25">
      <c r="A34" t="s">
        <v>132</v>
      </c>
    </row>
    <row r="35" spans="1:1" x14ac:dyDescent="0.25">
      <c r="A35" t="s">
        <v>131</v>
      </c>
    </row>
    <row r="36" spans="1:1" x14ac:dyDescent="0.25">
      <c r="A36" t="s">
        <v>68</v>
      </c>
    </row>
    <row r="37" spans="1:1" x14ac:dyDescent="0.25">
      <c r="A37" t="s">
        <v>290</v>
      </c>
    </row>
    <row r="38" spans="1:1" x14ac:dyDescent="0.25">
      <c r="A38" t="s">
        <v>291</v>
      </c>
    </row>
    <row r="39" spans="1:1" x14ac:dyDescent="0.25">
      <c r="A39" t="s">
        <v>130</v>
      </c>
    </row>
    <row r="40" spans="1:1" x14ac:dyDescent="0.25">
      <c r="A40" t="s">
        <v>292</v>
      </c>
    </row>
    <row r="41" spans="1:1" x14ac:dyDescent="0.25">
      <c r="A41" t="s">
        <v>293</v>
      </c>
    </row>
    <row r="42" spans="1:1" x14ac:dyDescent="0.25">
      <c r="A42" t="s">
        <v>244</v>
      </c>
    </row>
    <row r="43" spans="1:1" x14ac:dyDescent="0.25">
      <c r="A43" t="s">
        <v>245</v>
      </c>
    </row>
    <row r="44" spans="1:1" x14ac:dyDescent="0.25">
      <c r="A44" t="s">
        <v>294</v>
      </c>
    </row>
    <row r="45" spans="1:1" x14ac:dyDescent="0.25">
      <c r="A45" t="s">
        <v>295</v>
      </c>
    </row>
    <row r="46" spans="1:1" x14ac:dyDescent="0.25">
      <c r="A46" t="s">
        <v>296</v>
      </c>
    </row>
    <row r="47" spans="1:1" x14ac:dyDescent="0.25">
      <c r="A47" t="s">
        <v>297</v>
      </c>
    </row>
    <row r="48" spans="1:1" x14ac:dyDescent="0.25">
      <c r="A48" t="s">
        <v>306</v>
      </c>
    </row>
    <row r="49" spans="1:1" x14ac:dyDescent="0.25">
      <c r="A49" t="s">
        <v>307</v>
      </c>
    </row>
    <row r="50" spans="1:1" x14ac:dyDescent="0.25">
      <c r="A50" t="s">
        <v>308</v>
      </c>
    </row>
    <row r="51" spans="1:1" x14ac:dyDescent="0.25">
      <c r="A51" t="s">
        <v>309</v>
      </c>
    </row>
    <row r="52" spans="1:1" x14ac:dyDescent="0.25">
      <c r="A52" t="s">
        <v>310</v>
      </c>
    </row>
    <row r="53" spans="1:1" x14ac:dyDescent="0.25">
      <c r="A53" t="s">
        <v>311</v>
      </c>
    </row>
    <row r="54" spans="1:1" x14ac:dyDescent="0.25">
      <c r="A54" t="s">
        <v>312</v>
      </c>
    </row>
    <row r="55" spans="1:1" x14ac:dyDescent="0.25">
      <c r="A55" t="s">
        <v>313</v>
      </c>
    </row>
    <row r="56" spans="1:1" x14ac:dyDescent="0.25">
      <c r="A56" t="s">
        <v>128</v>
      </c>
    </row>
    <row r="57" spans="1:1" x14ac:dyDescent="0.25">
      <c r="A57" t="s">
        <v>243</v>
      </c>
    </row>
    <row r="58" spans="1:1" x14ac:dyDescent="0.25">
      <c r="A58" t="s">
        <v>298</v>
      </c>
    </row>
    <row r="59" spans="1:1" x14ac:dyDescent="0.25">
      <c r="A59" t="s">
        <v>299</v>
      </c>
    </row>
    <row r="60" spans="1:1" x14ac:dyDescent="0.25">
      <c r="A60" t="s">
        <v>300</v>
      </c>
    </row>
    <row r="61" spans="1:1" x14ac:dyDescent="0.25">
      <c r="A61" t="s">
        <v>301</v>
      </c>
    </row>
    <row r="62" spans="1:1" x14ac:dyDescent="0.25">
      <c r="A62" t="s">
        <v>302</v>
      </c>
    </row>
    <row r="63" spans="1:1" x14ac:dyDescent="0.25">
      <c r="A63" t="s">
        <v>303</v>
      </c>
    </row>
    <row r="64" spans="1:1" x14ac:dyDescent="0.25">
      <c r="A64" t="s">
        <v>304</v>
      </c>
    </row>
    <row r="65" spans="1:1" x14ac:dyDescent="0.25">
      <c r="A65" t="s">
        <v>305</v>
      </c>
    </row>
    <row r="66" spans="1:1" x14ac:dyDescent="0.25">
      <c r="A66" t="s">
        <v>246</v>
      </c>
    </row>
    <row r="67" spans="1:1" x14ac:dyDescent="0.25">
      <c r="A67" t="s">
        <v>314</v>
      </c>
    </row>
    <row r="68" spans="1:1" x14ac:dyDescent="0.25">
      <c r="A68" t="s">
        <v>315</v>
      </c>
    </row>
    <row r="69" spans="1:1" x14ac:dyDescent="0.25">
      <c r="A69" t="s">
        <v>316</v>
      </c>
    </row>
    <row r="70" spans="1:1" x14ac:dyDescent="0.25">
      <c r="A70" t="s">
        <v>317</v>
      </c>
    </row>
    <row r="71" spans="1:1" x14ac:dyDescent="0.25">
      <c r="A71" t="s">
        <v>318</v>
      </c>
    </row>
    <row r="72" spans="1:1" x14ac:dyDescent="0.25">
      <c r="A72" t="s">
        <v>319</v>
      </c>
    </row>
    <row r="73" spans="1:1" x14ac:dyDescent="0.25">
      <c r="A73" t="s">
        <v>320</v>
      </c>
    </row>
    <row r="74" spans="1:1" x14ac:dyDescent="0.25">
      <c r="A74" t="s">
        <v>321</v>
      </c>
    </row>
    <row r="75" spans="1:1" x14ac:dyDescent="0.25">
      <c r="A75" t="s">
        <v>322</v>
      </c>
    </row>
    <row r="76" spans="1:1" x14ac:dyDescent="0.25">
      <c r="A76" t="s">
        <v>323</v>
      </c>
    </row>
    <row r="77" spans="1:1" x14ac:dyDescent="0.25">
      <c r="A77" t="s">
        <v>324</v>
      </c>
    </row>
    <row r="78" spans="1:1" x14ac:dyDescent="0.25">
      <c r="A78" t="s">
        <v>325</v>
      </c>
    </row>
    <row r="79" spans="1:1" x14ac:dyDescent="0.25">
      <c r="A79" t="s">
        <v>326</v>
      </c>
    </row>
    <row r="80" spans="1:1" x14ac:dyDescent="0.25">
      <c r="A80" t="s">
        <v>327</v>
      </c>
    </row>
    <row r="81" spans="1:1" x14ac:dyDescent="0.25">
      <c r="A81" t="s">
        <v>328</v>
      </c>
    </row>
    <row r="82" spans="1:1" x14ac:dyDescent="0.25">
      <c r="A82" t="s">
        <v>329</v>
      </c>
    </row>
    <row r="83" spans="1:1" x14ac:dyDescent="0.25">
      <c r="A83" t="s">
        <v>330</v>
      </c>
    </row>
    <row r="84" spans="1:1" x14ac:dyDescent="0.25">
      <c r="A84" t="s">
        <v>331</v>
      </c>
    </row>
    <row r="85" spans="1:1" x14ac:dyDescent="0.25">
      <c r="A85" t="s">
        <v>332</v>
      </c>
    </row>
    <row r="86" spans="1:1" x14ac:dyDescent="0.25">
      <c r="A86" t="s">
        <v>333</v>
      </c>
    </row>
    <row r="87" spans="1:1" x14ac:dyDescent="0.25">
      <c r="A87" t="s">
        <v>247</v>
      </c>
    </row>
    <row r="88" spans="1:1" x14ac:dyDescent="0.25">
      <c r="A88" t="s">
        <v>122</v>
      </c>
    </row>
    <row r="89" spans="1:1" x14ac:dyDescent="0.25">
      <c r="A89" t="s">
        <v>334</v>
      </c>
    </row>
    <row r="90" spans="1:1" x14ac:dyDescent="0.25">
      <c r="A90" t="s">
        <v>335</v>
      </c>
    </row>
    <row r="91" spans="1:1" x14ac:dyDescent="0.25">
      <c r="A91" t="s">
        <v>336</v>
      </c>
    </row>
    <row r="92" spans="1:1" x14ac:dyDescent="0.25">
      <c r="A92" t="s">
        <v>337</v>
      </c>
    </row>
    <row r="93" spans="1:1" x14ac:dyDescent="0.25">
      <c r="A93" t="s">
        <v>338</v>
      </c>
    </row>
    <row r="94" spans="1:1" x14ac:dyDescent="0.25">
      <c r="A94" t="s">
        <v>339</v>
      </c>
    </row>
    <row r="95" spans="1:1" x14ac:dyDescent="0.25">
      <c r="A95" t="s">
        <v>55</v>
      </c>
    </row>
    <row r="96" spans="1:1" x14ac:dyDescent="0.25">
      <c r="A96" t="s">
        <v>54</v>
      </c>
    </row>
    <row r="97" spans="1:1" x14ac:dyDescent="0.25">
      <c r="A97" t="s">
        <v>53</v>
      </c>
    </row>
    <row r="98" spans="1:1" x14ac:dyDescent="0.25">
      <c r="A98" t="s">
        <v>340</v>
      </c>
    </row>
    <row r="99" spans="1:1" x14ac:dyDescent="0.25">
      <c r="A99" t="s">
        <v>341</v>
      </c>
    </row>
    <row r="100" spans="1:1" x14ac:dyDescent="0.25">
      <c r="A100" t="s">
        <v>51</v>
      </c>
    </row>
    <row r="101" spans="1:1" x14ac:dyDescent="0.25">
      <c r="A101" t="s">
        <v>50</v>
      </c>
    </row>
    <row r="102" spans="1:1" x14ac:dyDescent="0.25">
      <c r="A102" t="s">
        <v>344</v>
      </c>
    </row>
    <row r="103" spans="1:1" x14ac:dyDescent="0.25">
      <c r="A103" t="s">
        <v>345</v>
      </c>
    </row>
    <row r="104" spans="1:1" x14ac:dyDescent="0.25">
      <c r="A104" t="s">
        <v>342</v>
      </c>
    </row>
    <row r="105" spans="1:1" x14ac:dyDescent="0.25">
      <c r="A105" t="s">
        <v>343</v>
      </c>
    </row>
    <row r="106" spans="1:1" x14ac:dyDescent="0.25">
      <c r="A106" t="s">
        <v>346</v>
      </c>
    </row>
    <row r="107" spans="1:1" x14ac:dyDescent="0.25">
      <c r="A107" t="s">
        <v>347</v>
      </c>
    </row>
    <row r="108" spans="1:1" x14ac:dyDescent="0.25">
      <c r="A108" t="s">
        <v>348</v>
      </c>
    </row>
    <row r="109" spans="1:1" x14ac:dyDescent="0.25">
      <c r="A109" t="s">
        <v>349</v>
      </c>
    </row>
    <row r="110" spans="1:1" x14ac:dyDescent="0.25">
      <c r="A110" t="s">
        <v>118</v>
      </c>
    </row>
    <row r="111" spans="1:1" x14ac:dyDescent="0.25">
      <c r="A111" t="s">
        <v>248</v>
      </c>
    </row>
    <row r="112" spans="1:1" x14ac:dyDescent="0.25">
      <c r="A112" t="s">
        <v>350</v>
      </c>
    </row>
    <row r="113" spans="1:1" x14ac:dyDescent="0.25">
      <c r="A113" t="s">
        <v>351</v>
      </c>
    </row>
    <row r="114" spans="1:1" x14ac:dyDescent="0.25">
      <c r="A114" t="s">
        <v>352</v>
      </c>
    </row>
    <row r="115" spans="1:1" x14ac:dyDescent="0.25">
      <c r="A115" t="s">
        <v>353</v>
      </c>
    </row>
    <row r="116" spans="1:1" x14ac:dyDescent="0.25">
      <c r="A116" t="s">
        <v>354</v>
      </c>
    </row>
    <row r="117" spans="1:1" x14ac:dyDescent="0.25">
      <c r="A117" t="s">
        <v>355</v>
      </c>
    </row>
    <row r="118" spans="1:1" x14ac:dyDescent="0.25">
      <c r="A118" t="s">
        <v>356</v>
      </c>
    </row>
    <row r="119" spans="1:1" x14ac:dyDescent="0.25">
      <c r="A119" t="s">
        <v>357</v>
      </c>
    </row>
    <row r="120" spans="1:1" x14ac:dyDescent="0.25">
      <c r="A120" t="s">
        <v>358</v>
      </c>
    </row>
    <row r="121" spans="1:1" x14ac:dyDescent="0.25">
      <c r="A121" t="s">
        <v>359</v>
      </c>
    </row>
    <row r="122" spans="1:1" x14ac:dyDescent="0.25">
      <c r="A122" t="s">
        <v>360</v>
      </c>
    </row>
    <row r="123" spans="1:1" x14ac:dyDescent="0.25">
      <c r="A123" t="s">
        <v>361</v>
      </c>
    </row>
    <row r="124" spans="1:1" x14ac:dyDescent="0.25">
      <c r="A124" t="s">
        <v>249</v>
      </c>
    </row>
    <row r="125" spans="1:1" x14ac:dyDescent="0.25">
      <c r="A125" t="s">
        <v>115</v>
      </c>
    </row>
    <row r="126" spans="1:1" x14ac:dyDescent="0.25">
      <c r="A126" t="s">
        <v>114</v>
      </c>
    </row>
    <row r="127" spans="1:1" x14ac:dyDescent="0.25">
      <c r="A127" t="s">
        <v>113</v>
      </c>
    </row>
    <row r="128" spans="1:1" x14ac:dyDescent="0.25">
      <c r="A128" t="s">
        <v>112</v>
      </c>
    </row>
    <row r="129" spans="1:1" x14ac:dyDescent="0.25">
      <c r="A129" t="s">
        <v>364</v>
      </c>
    </row>
    <row r="130" spans="1:1" x14ac:dyDescent="0.25">
      <c r="A130" t="s">
        <v>365</v>
      </c>
    </row>
    <row r="131" spans="1:1" x14ac:dyDescent="0.25">
      <c r="A131" t="s">
        <v>362</v>
      </c>
    </row>
    <row r="132" spans="1:1" x14ac:dyDescent="0.25">
      <c r="A132" t="s">
        <v>363</v>
      </c>
    </row>
    <row r="133" spans="1:1" x14ac:dyDescent="0.25">
      <c r="A133" t="s">
        <v>110</v>
      </c>
    </row>
    <row r="134" spans="1:1" x14ac:dyDescent="0.25">
      <c r="A134" t="s">
        <v>366</v>
      </c>
    </row>
    <row r="135" spans="1:1" x14ac:dyDescent="0.25">
      <c r="A135" t="s">
        <v>367</v>
      </c>
    </row>
    <row r="136" spans="1:1" x14ac:dyDescent="0.25">
      <c r="A136" t="s">
        <v>368</v>
      </c>
    </row>
    <row r="137" spans="1:1" x14ac:dyDescent="0.25">
      <c r="A137" t="s">
        <v>369</v>
      </c>
    </row>
    <row r="138" spans="1:1" x14ac:dyDescent="0.25">
      <c r="A138" t="s">
        <v>370</v>
      </c>
    </row>
    <row r="139" spans="1:1" x14ac:dyDescent="0.25">
      <c r="A139" t="s">
        <v>371</v>
      </c>
    </row>
    <row r="140" spans="1:1" x14ac:dyDescent="0.25">
      <c r="A140" t="s">
        <v>372</v>
      </c>
    </row>
    <row r="141" spans="1:1" x14ac:dyDescent="0.25">
      <c r="A141" t="s">
        <v>373</v>
      </c>
    </row>
    <row r="142" spans="1:1" x14ac:dyDescent="0.25">
      <c r="A142" t="s">
        <v>374</v>
      </c>
    </row>
    <row r="143" spans="1:1" x14ac:dyDescent="0.25">
      <c r="A143" t="s">
        <v>375</v>
      </c>
    </row>
    <row r="144" spans="1:1" x14ac:dyDescent="0.25">
      <c r="A144" t="s">
        <v>376</v>
      </c>
    </row>
    <row r="145" spans="1:1" x14ac:dyDescent="0.25">
      <c r="A145" t="s">
        <v>377</v>
      </c>
    </row>
    <row r="146" spans="1:1" x14ac:dyDescent="0.25">
      <c r="A146" t="s">
        <v>250</v>
      </c>
    </row>
    <row r="147" spans="1:1" x14ac:dyDescent="0.25">
      <c r="A147" t="s">
        <v>378</v>
      </c>
    </row>
    <row r="148" spans="1:1" x14ac:dyDescent="0.25">
      <c r="A148" t="s">
        <v>379</v>
      </c>
    </row>
    <row r="149" spans="1:1" x14ac:dyDescent="0.25">
      <c r="A149" t="s">
        <v>380</v>
      </c>
    </row>
    <row r="150" spans="1:1" x14ac:dyDescent="0.25">
      <c r="A150" t="s">
        <v>381</v>
      </c>
    </row>
    <row r="151" spans="1:1" x14ac:dyDescent="0.25">
      <c r="A151" t="s">
        <v>382</v>
      </c>
    </row>
    <row r="152" spans="1:1" x14ac:dyDescent="0.25">
      <c r="A152" t="s">
        <v>383</v>
      </c>
    </row>
    <row r="153" spans="1:1" x14ac:dyDescent="0.25">
      <c r="A153" t="s">
        <v>251</v>
      </c>
    </row>
    <row r="154" spans="1:1" x14ac:dyDescent="0.25">
      <c r="A154" t="s">
        <v>384</v>
      </c>
    </row>
    <row r="155" spans="1:1" x14ac:dyDescent="0.25">
      <c r="A155" t="s">
        <v>385</v>
      </c>
    </row>
    <row r="156" spans="1:1" x14ac:dyDescent="0.25">
      <c r="A156" t="s">
        <v>107</v>
      </c>
    </row>
    <row r="157" spans="1:1" x14ac:dyDescent="0.25">
      <c r="A157" t="s">
        <v>32</v>
      </c>
    </row>
    <row r="158" spans="1:1" x14ac:dyDescent="0.25">
      <c r="A158" t="s">
        <v>386</v>
      </c>
    </row>
    <row r="159" spans="1:1" x14ac:dyDescent="0.25">
      <c r="A159" t="s">
        <v>387</v>
      </c>
    </row>
    <row r="160" spans="1:1" x14ac:dyDescent="0.25">
      <c r="A160" t="s">
        <v>388</v>
      </c>
    </row>
    <row r="161" spans="1:1" x14ac:dyDescent="0.25">
      <c r="A161" t="s">
        <v>389</v>
      </c>
    </row>
    <row r="162" spans="1:1" x14ac:dyDescent="0.25">
      <c r="A162" t="s">
        <v>106</v>
      </c>
    </row>
    <row r="163" spans="1:1" x14ac:dyDescent="0.25">
      <c r="A163" t="s">
        <v>105</v>
      </c>
    </row>
    <row r="164" spans="1:1" x14ac:dyDescent="0.25">
      <c r="A164" t="s">
        <v>390</v>
      </c>
    </row>
    <row r="165" spans="1:1" x14ac:dyDescent="0.25">
      <c r="A165" t="s">
        <v>391</v>
      </c>
    </row>
    <row r="166" spans="1:1" x14ac:dyDescent="0.25">
      <c r="A166" t="s">
        <v>392</v>
      </c>
    </row>
    <row r="167" spans="1:1" x14ac:dyDescent="0.25">
      <c r="A167" t="s">
        <v>393</v>
      </c>
    </row>
    <row r="168" spans="1:1" x14ac:dyDescent="0.25">
      <c r="A168" t="s">
        <v>252</v>
      </c>
    </row>
    <row r="169" spans="1:1" x14ac:dyDescent="0.25">
      <c r="A169" t="s">
        <v>394</v>
      </c>
    </row>
    <row r="170" spans="1:1" x14ac:dyDescent="0.25">
      <c r="A170" t="s">
        <v>395</v>
      </c>
    </row>
    <row r="171" spans="1:1" x14ac:dyDescent="0.25">
      <c r="A171" t="s">
        <v>28</v>
      </c>
    </row>
    <row r="172" spans="1:1" x14ac:dyDescent="0.25">
      <c r="A172" t="s">
        <v>26</v>
      </c>
    </row>
    <row r="173" spans="1:1" x14ac:dyDescent="0.25">
      <c r="A173" t="s">
        <v>24</v>
      </c>
    </row>
    <row r="174" spans="1:1" x14ac:dyDescent="0.25">
      <c r="A174" t="s">
        <v>102</v>
      </c>
    </row>
    <row r="175" spans="1:1" x14ac:dyDescent="0.25">
      <c r="A175" t="s">
        <v>101</v>
      </c>
    </row>
    <row r="176" spans="1:1" x14ac:dyDescent="0.25">
      <c r="A176" t="s">
        <v>253</v>
      </c>
    </row>
    <row r="177" spans="1:1" x14ac:dyDescent="0.25">
      <c r="A177" t="s">
        <v>396</v>
      </c>
    </row>
    <row r="178" spans="1:1" x14ac:dyDescent="0.25">
      <c r="A178" t="s">
        <v>397</v>
      </c>
    </row>
    <row r="179" spans="1:1" x14ac:dyDescent="0.25">
      <c r="A179" t="s">
        <v>398</v>
      </c>
    </row>
    <row r="180" spans="1:1" x14ac:dyDescent="0.25">
      <c r="A180" t="s">
        <v>399</v>
      </c>
    </row>
    <row r="181" spans="1:1" x14ac:dyDescent="0.25">
      <c r="A181" t="s">
        <v>98</v>
      </c>
    </row>
    <row r="182" spans="1:1" x14ac:dyDescent="0.25">
      <c r="A182" t="s">
        <v>254</v>
      </c>
    </row>
    <row r="183" spans="1:1" x14ac:dyDescent="0.25">
      <c r="A183" t="s">
        <v>255</v>
      </c>
    </row>
    <row r="184" spans="1:1" x14ac:dyDescent="0.25">
      <c r="A184" t="s">
        <v>256</v>
      </c>
    </row>
    <row r="185" spans="1:1" x14ac:dyDescent="0.25">
      <c r="A185" t="s">
        <v>96</v>
      </c>
    </row>
    <row r="186" spans="1:1" x14ac:dyDescent="0.25">
      <c r="A186" t="s">
        <v>95</v>
      </c>
    </row>
    <row r="187" spans="1:1" x14ac:dyDescent="0.25">
      <c r="A187" t="s">
        <v>94</v>
      </c>
    </row>
    <row r="188" spans="1:1" x14ac:dyDescent="0.25">
      <c r="A188" t="s">
        <v>400</v>
      </c>
    </row>
    <row r="189" spans="1:1" x14ac:dyDescent="0.25">
      <c r="A189" t="s">
        <v>401</v>
      </c>
    </row>
    <row r="190" spans="1:1" x14ac:dyDescent="0.25">
      <c r="A190" t="s">
        <v>402</v>
      </c>
    </row>
    <row r="191" spans="1:1" x14ac:dyDescent="0.25">
      <c r="A191" t="s">
        <v>403</v>
      </c>
    </row>
    <row r="192" spans="1:1" x14ac:dyDescent="0.25">
      <c r="A192" t="s">
        <v>404</v>
      </c>
    </row>
    <row r="193" spans="1:1" x14ac:dyDescent="0.25">
      <c r="A193" t="s">
        <v>404</v>
      </c>
    </row>
    <row r="194" spans="1:1" x14ac:dyDescent="0.25">
      <c r="A194" t="s">
        <v>405</v>
      </c>
    </row>
    <row r="195" spans="1:1" x14ac:dyDescent="0.25">
      <c r="A195" t="s">
        <v>405</v>
      </c>
    </row>
    <row r="196" spans="1:1" x14ac:dyDescent="0.25">
      <c r="A196" t="s">
        <v>257</v>
      </c>
    </row>
    <row r="197" spans="1:1" x14ac:dyDescent="0.25">
      <c r="A197" t="s">
        <v>257</v>
      </c>
    </row>
    <row r="198" spans="1:1" x14ac:dyDescent="0.25">
      <c r="A198" t="s">
        <v>15</v>
      </c>
    </row>
    <row r="199" spans="1:1" x14ac:dyDescent="0.25">
      <c r="A199" t="s">
        <v>92</v>
      </c>
    </row>
    <row r="200" spans="1:1" x14ac:dyDescent="0.25">
      <c r="A200" t="s">
        <v>406</v>
      </c>
    </row>
    <row r="201" spans="1:1" x14ac:dyDescent="0.25">
      <c r="A201" t="s">
        <v>407</v>
      </c>
    </row>
    <row r="202" spans="1:1" x14ac:dyDescent="0.25">
      <c r="A202" t="s">
        <v>408</v>
      </c>
    </row>
    <row r="203" spans="1:1" x14ac:dyDescent="0.25">
      <c r="A203" t="s">
        <v>409</v>
      </c>
    </row>
    <row r="204" spans="1:1" x14ac:dyDescent="0.25">
      <c r="A204" t="s">
        <v>258</v>
      </c>
    </row>
    <row r="205" spans="1:1" x14ac:dyDescent="0.25">
      <c r="A205" t="s">
        <v>410</v>
      </c>
    </row>
    <row r="206" spans="1:1" x14ac:dyDescent="0.25">
      <c r="A206" t="s">
        <v>411</v>
      </c>
    </row>
    <row r="207" spans="1:1" x14ac:dyDescent="0.25">
      <c r="A207" t="s">
        <v>412</v>
      </c>
    </row>
    <row r="208" spans="1:1" x14ac:dyDescent="0.25">
      <c r="A208" t="s">
        <v>413</v>
      </c>
    </row>
    <row r="209" spans="1:1" x14ac:dyDescent="0.25">
      <c r="A209" t="s">
        <v>89</v>
      </c>
    </row>
    <row r="210" spans="1:1" x14ac:dyDescent="0.25">
      <c r="A210" t="s">
        <v>259</v>
      </c>
    </row>
    <row r="211" spans="1:1" x14ac:dyDescent="0.25">
      <c r="A211" t="s">
        <v>414</v>
      </c>
    </row>
    <row r="212" spans="1:1" x14ac:dyDescent="0.25">
      <c r="A212" t="s">
        <v>415</v>
      </c>
    </row>
    <row r="213" spans="1:1" x14ac:dyDescent="0.25">
      <c r="A213" t="s">
        <v>88</v>
      </c>
    </row>
    <row r="214" spans="1:1" x14ac:dyDescent="0.25">
      <c r="A214" t="s">
        <v>87</v>
      </c>
    </row>
    <row r="215" spans="1:1" x14ac:dyDescent="0.25">
      <c r="A215" t="s">
        <v>260</v>
      </c>
    </row>
    <row r="216" spans="1:1" x14ac:dyDescent="0.25">
      <c r="A216" t="s">
        <v>416</v>
      </c>
    </row>
    <row r="217" spans="1:1" x14ac:dyDescent="0.25">
      <c r="A217" t="s">
        <v>417</v>
      </c>
    </row>
    <row r="218" spans="1:1" x14ac:dyDescent="0.25">
      <c r="A218" t="s">
        <v>418</v>
      </c>
    </row>
    <row r="219" spans="1:1" x14ac:dyDescent="0.25">
      <c r="A219" t="s">
        <v>419</v>
      </c>
    </row>
    <row r="220" spans="1:1" x14ac:dyDescent="0.25">
      <c r="A220" t="s">
        <v>420</v>
      </c>
    </row>
    <row r="221" spans="1:1" x14ac:dyDescent="0.25">
      <c r="A221" t="s">
        <v>421</v>
      </c>
    </row>
    <row r="222" spans="1:1" x14ac:dyDescent="0.25">
      <c r="A222" t="s">
        <v>422</v>
      </c>
    </row>
    <row r="223" spans="1:1" x14ac:dyDescent="0.25">
      <c r="A223" t="s">
        <v>423</v>
      </c>
    </row>
    <row r="224" spans="1:1" x14ac:dyDescent="0.25">
      <c r="A224" t="s">
        <v>261</v>
      </c>
    </row>
    <row r="225" spans="1:1" x14ac:dyDescent="0.25">
      <c r="A225" t="s">
        <v>262</v>
      </c>
    </row>
    <row r="226" spans="1:1" x14ac:dyDescent="0.25">
      <c r="A226" t="s">
        <v>424</v>
      </c>
    </row>
    <row r="227" spans="1:1" x14ac:dyDescent="0.25">
      <c r="A227" t="s">
        <v>425</v>
      </c>
    </row>
    <row r="228" spans="1:1" x14ac:dyDescent="0.25">
      <c r="A228" t="s">
        <v>263</v>
      </c>
    </row>
    <row r="229" spans="1:1" x14ac:dyDescent="0.25">
      <c r="A229" t="s">
        <v>82</v>
      </c>
    </row>
  </sheetData>
  <sortState xmlns:xlrd2="http://schemas.microsoft.com/office/spreadsheetml/2017/richdata2" ref="A2:A230">
    <sortCondition ref="A126:A2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Manual_List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2026-01-08T22:07:11Z</dcterms:created>
  <dcterms:modified xsi:type="dcterms:W3CDTF">2026-01-10T00:43:07Z</dcterms:modified>
</cp:coreProperties>
</file>